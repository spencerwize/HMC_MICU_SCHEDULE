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enc\Documents\HMC_MICU_SCHEDULE\"/>
    </mc:Choice>
  </mc:AlternateContent>
  <xr:revisionPtr revIDLastSave="0" documentId="13_ncr:1_{19C2781A-809C-43F3-B510-9F6E9F9ABC7C}" xr6:coauthVersionLast="47" xr6:coauthVersionMax="47" xr10:uidLastSave="{00000000-0000-0000-0000-000000000000}"/>
  <bookViews>
    <workbookView xWindow="-110" yWindow="-110" windowWidth="25180" windowHeight="16140" activeTab="2" xr2:uid="{00000000-000D-0000-FFFF-FFFF00000000}"/>
  </bookViews>
  <sheets>
    <sheet name="Calendar" sheetId="1" r:id="rId1"/>
    <sheet name="Summary" sheetId="2" r:id="rId2"/>
    <sheet name="Schedule" sheetId="3" r:id="rId3"/>
    <sheet name="Requested Change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Z107" i="3" l="1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H65" i="1" s="1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Z104" i="3"/>
  <c r="Y104" i="3"/>
  <c r="X104" i="3"/>
  <c r="W104" i="3"/>
  <c r="V104" i="3"/>
  <c r="U104" i="3"/>
  <c r="S104" i="3"/>
  <c r="R104" i="3"/>
  <c r="P104" i="3"/>
  <c r="O104" i="3"/>
  <c r="N104" i="3"/>
  <c r="M104" i="3"/>
  <c r="L104" i="3"/>
  <c r="K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D65" i="1" s="1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H63" i="1" s="1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Z97" i="3"/>
  <c r="Y97" i="3"/>
  <c r="X97" i="3"/>
  <c r="W97" i="3"/>
  <c r="V97" i="3"/>
  <c r="U97" i="3"/>
  <c r="S97" i="3"/>
  <c r="R97" i="3"/>
  <c r="Q97" i="3"/>
  <c r="P97" i="3"/>
  <c r="O97" i="3"/>
  <c r="N97" i="3"/>
  <c r="M97" i="3"/>
  <c r="L97" i="3"/>
  <c r="K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E63" i="1" s="1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Z89" i="3"/>
  <c r="Y89" i="3"/>
  <c r="X89" i="3"/>
  <c r="W89" i="3"/>
  <c r="V89" i="3"/>
  <c r="U89" i="3"/>
  <c r="S89" i="3"/>
  <c r="R89" i="3"/>
  <c r="Q89" i="3"/>
  <c r="P89" i="3"/>
  <c r="O89" i="3"/>
  <c r="N89" i="3"/>
  <c r="M89" i="3"/>
  <c r="L89" i="3"/>
  <c r="K89" i="3"/>
  <c r="F61" i="1" s="1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C61" i="1" s="1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G59" i="1" s="1"/>
  <c r="Z82" i="3"/>
  <c r="Y82" i="3"/>
  <c r="X82" i="3"/>
  <c r="W82" i="3"/>
  <c r="V82" i="3"/>
  <c r="U82" i="3"/>
  <c r="S82" i="3"/>
  <c r="R82" i="3"/>
  <c r="Q82" i="3"/>
  <c r="P82" i="3"/>
  <c r="O82" i="3"/>
  <c r="N82" i="3"/>
  <c r="M82" i="3"/>
  <c r="L82" i="3"/>
  <c r="K82" i="3"/>
  <c r="Z81" i="3"/>
  <c r="Y81" i="3"/>
  <c r="X81" i="3"/>
  <c r="W81" i="3"/>
  <c r="V81" i="3"/>
  <c r="U81" i="3"/>
  <c r="T81" i="3"/>
  <c r="S81" i="3"/>
  <c r="R81" i="3"/>
  <c r="Q81" i="3"/>
  <c r="P81" i="3"/>
  <c r="O81" i="3"/>
  <c r="M81" i="3"/>
  <c r="L81" i="3"/>
  <c r="K81" i="3"/>
  <c r="E59" i="1" s="1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L80" i="3"/>
  <c r="K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L79" i="3"/>
  <c r="K79" i="3"/>
  <c r="Z77" i="3"/>
  <c r="Y77" i="3"/>
  <c r="X77" i="3"/>
  <c r="W77" i="3"/>
  <c r="V77" i="3"/>
  <c r="U77" i="3"/>
  <c r="T77" i="3"/>
  <c r="S77" i="3"/>
  <c r="R77" i="3"/>
  <c r="P77" i="3"/>
  <c r="O77" i="3"/>
  <c r="N77" i="3"/>
  <c r="M77" i="3"/>
  <c r="K77" i="3"/>
  <c r="Z76" i="3"/>
  <c r="Y76" i="3"/>
  <c r="X76" i="3"/>
  <c r="W76" i="3"/>
  <c r="V76" i="3"/>
  <c r="U76" i="3"/>
  <c r="T76" i="3"/>
  <c r="S76" i="3"/>
  <c r="R76" i="3"/>
  <c r="P76" i="3"/>
  <c r="O76" i="3"/>
  <c r="N76" i="3"/>
  <c r="M76" i="3"/>
  <c r="K76" i="3"/>
  <c r="H57" i="1" s="1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F52" i="1" s="1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E52" i="1" s="1"/>
  <c r="Z72" i="3"/>
  <c r="Y72" i="3"/>
  <c r="X72" i="3"/>
  <c r="W72" i="3"/>
  <c r="V72" i="3"/>
  <c r="U72" i="3"/>
  <c r="S72" i="3"/>
  <c r="R72" i="3"/>
  <c r="Q72" i="3"/>
  <c r="P72" i="3"/>
  <c r="O72" i="3"/>
  <c r="N72" i="3"/>
  <c r="M72" i="3"/>
  <c r="L72" i="3"/>
  <c r="K72" i="3"/>
  <c r="D52" i="1" s="1"/>
  <c r="Z71" i="3"/>
  <c r="Y71" i="3"/>
  <c r="X71" i="3"/>
  <c r="W71" i="3"/>
  <c r="V71" i="3"/>
  <c r="U71" i="3"/>
  <c r="S71" i="3"/>
  <c r="R71" i="3"/>
  <c r="Q71" i="3"/>
  <c r="O71" i="3"/>
  <c r="M71" i="3"/>
  <c r="L71" i="3"/>
  <c r="K71" i="3"/>
  <c r="Z70" i="3"/>
  <c r="Y70" i="3"/>
  <c r="X70" i="3"/>
  <c r="W70" i="3"/>
  <c r="V70" i="3"/>
  <c r="U70" i="3"/>
  <c r="R70" i="3"/>
  <c r="Q70" i="3"/>
  <c r="P70" i="3"/>
  <c r="O70" i="3"/>
  <c r="N70" i="3"/>
  <c r="M70" i="3"/>
  <c r="L70" i="3"/>
  <c r="K70" i="3"/>
  <c r="B52" i="1" s="1"/>
  <c r="Z69" i="3"/>
  <c r="Y69" i="3"/>
  <c r="X69" i="3"/>
  <c r="W69" i="3"/>
  <c r="V69" i="3"/>
  <c r="U69" i="3"/>
  <c r="R69" i="3"/>
  <c r="Q69" i="3"/>
  <c r="P69" i="3"/>
  <c r="O69" i="3"/>
  <c r="N69" i="3"/>
  <c r="M69" i="3"/>
  <c r="L69" i="3"/>
  <c r="K69" i="3"/>
  <c r="H50" i="1" s="1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E50" i="1" s="1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B50" i="1" s="1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G48" i="1" s="1"/>
  <c r="Z59" i="3"/>
  <c r="Y59" i="3"/>
  <c r="X59" i="3"/>
  <c r="W59" i="3"/>
  <c r="V59" i="3"/>
  <c r="U59" i="3"/>
  <c r="S59" i="3"/>
  <c r="R59" i="3"/>
  <c r="Q59" i="3"/>
  <c r="P59" i="3"/>
  <c r="O59" i="3"/>
  <c r="N59" i="3"/>
  <c r="M59" i="3"/>
  <c r="L59" i="3"/>
  <c r="K59" i="3"/>
  <c r="F48" i="1" s="1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D48" i="1" s="1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C48" i="1" s="1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G46" i="1" s="1"/>
  <c r="Z52" i="3"/>
  <c r="Y52" i="3"/>
  <c r="X52" i="3"/>
  <c r="W52" i="3"/>
  <c r="V52" i="3"/>
  <c r="U52" i="3"/>
  <c r="S52" i="3"/>
  <c r="Q52" i="3"/>
  <c r="P52" i="3"/>
  <c r="O52" i="3"/>
  <c r="N52" i="3"/>
  <c r="M52" i="3"/>
  <c r="K52" i="3"/>
  <c r="F46" i="1" s="1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E46" i="1" s="1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B46" i="1" s="1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H44" i="1" s="1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Z44" i="3"/>
  <c r="Y44" i="3"/>
  <c r="X44" i="3"/>
  <c r="W44" i="3"/>
  <c r="V44" i="3"/>
  <c r="U44" i="3"/>
  <c r="S44" i="3"/>
  <c r="R44" i="3"/>
  <c r="Q44" i="3"/>
  <c r="P44" i="3"/>
  <c r="O44" i="3"/>
  <c r="N44" i="3"/>
  <c r="M44" i="3"/>
  <c r="L44" i="3"/>
  <c r="K44" i="3"/>
  <c r="F44" i="1" s="1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E44" i="1" s="1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D44" i="1" s="1"/>
  <c r="Z41" i="3"/>
  <c r="Y41" i="3"/>
  <c r="X41" i="3"/>
  <c r="W41" i="3"/>
  <c r="V41" i="3"/>
  <c r="U41" i="3"/>
  <c r="T41" i="3"/>
  <c r="S41" i="3"/>
  <c r="R41" i="3"/>
  <c r="P41" i="3"/>
  <c r="O41" i="3"/>
  <c r="N41" i="3"/>
  <c r="M41" i="3"/>
  <c r="K41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Z39" i="3"/>
  <c r="Y39" i="3"/>
  <c r="X39" i="3"/>
  <c r="W39" i="3"/>
  <c r="V39" i="3"/>
  <c r="U39" i="3"/>
  <c r="S39" i="3"/>
  <c r="R39" i="3"/>
  <c r="Q39" i="3"/>
  <c r="P39" i="3"/>
  <c r="O39" i="3"/>
  <c r="N39" i="3"/>
  <c r="M39" i="3"/>
  <c r="L39" i="3"/>
  <c r="K3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G37" i="1" s="1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Z36" i="3"/>
  <c r="Y36" i="3"/>
  <c r="X36" i="3"/>
  <c r="W36" i="3"/>
  <c r="V36" i="3"/>
  <c r="U36" i="3"/>
  <c r="S36" i="3"/>
  <c r="R36" i="3"/>
  <c r="P36" i="3"/>
  <c r="O36" i="3"/>
  <c r="N36" i="3"/>
  <c r="Z35" i="3"/>
  <c r="Y35" i="3"/>
  <c r="X35" i="3"/>
  <c r="W35" i="3"/>
  <c r="V35" i="3"/>
  <c r="U35" i="3"/>
  <c r="S35" i="3"/>
  <c r="R35" i="3"/>
  <c r="Q35" i="3"/>
  <c r="P35" i="3"/>
  <c r="O35" i="3"/>
  <c r="N35" i="3"/>
  <c r="M35" i="3"/>
  <c r="L35" i="3"/>
  <c r="K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C37" i="1" s="1"/>
  <c r="Z32" i="3"/>
  <c r="Y32" i="3"/>
  <c r="X32" i="3"/>
  <c r="W32" i="3"/>
  <c r="V32" i="3"/>
  <c r="U32" i="3"/>
  <c r="T32" i="3"/>
  <c r="S32" i="3"/>
  <c r="R32" i="3"/>
  <c r="Q32" i="3"/>
  <c r="P32" i="3"/>
  <c r="O32" i="3"/>
  <c r="M32" i="3"/>
  <c r="L32" i="3"/>
  <c r="K32" i="3"/>
  <c r="Z31" i="3"/>
  <c r="Y31" i="3"/>
  <c r="X31" i="3"/>
  <c r="W31" i="3"/>
  <c r="V31" i="3"/>
  <c r="U31" i="3"/>
  <c r="T31" i="3"/>
  <c r="S31" i="3"/>
  <c r="R31" i="3"/>
  <c r="Q31" i="3"/>
  <c r="P31" i="3"/>
  <c r="O31" i="3"/>
  <c r="M31" i="3"/>
  <c r="L31" i="3"/>
  <c r="K31" i="3"/>
  <c r="H35" i="1" s="1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Z29" i="3"/>
  <c r="Y29" i="3"/>
  <c r="X29" i="3"/>
  <c r="W29" i="3"/>
  <c r="V29" i="3"/>
  <c r="U29" i="3"/>
  <c r="S29" i="3"/>
  <c r="R29" i="3"/>
  <c r="Q29" i="3"/>
  <c r="P29" i="3"/>
  <c r="O29" i="3"/>
  <c r="N29" i="3"/>
  <c r="M29" i="3"/>
  <c r="L29" i="3"/>
  <c r="K29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D35" i="1" s="1"/>
  <c r="Z26" i="3"/>
  <c r="Y26" i="3"/>
  <c r="X26" i="3"/>
  <c r="W26" i="3"/>
  <c r="V26" i="3"/>
  <c r="U26" i="3"/>
  <c r="T26" i="3"/>
  <c r="S26" i="3"/>
  <c r="R26" i="3"/>
  <c r="P26" i="3"/>
  <c r="O26" i="3"/>
  <c r="N26" i="3"/>
  <c r="M26" i="3"/>
  <c r="L26" i="3"/>
  <c r="K26" i="3"/>
  <c r="C35" i="1" s="1"/>
  <c r="Z25" i="3"/>
  <c r="Y25" i="3"/>
  <c r="X25" i="3"/>
  <c r="W25" i="3"/>
  <c r="V25" i="3"/>
  <c r="U25" i="3"/>
  <c r="T25" i="3"/>
  <c r="S25" i="3"/>
  <c r="R25" i="3"/>
  <c r="Q25" i="3"/>
  <c r="P25" i="3"/>
  <c r="O25" i="3"/>
  <c r="M25" i="3"/>
  <c r="L25" i="3"/>
  <c r="K25" i="3"/>
  <c r="B35" i="1" s="1"/>
  <c r="Z24" i="3"/>
  <c r="Y24" i="3"/>
  <c r="X24" i="3"/>
  <c r="W24" i="3"/>
  <c r="V24" i="3"/>
  <c r="U24" i="3"/>
  <c r="T24" i="3"/>
  <c r="S24" i="3"/>
  <c r="R24" i="3"/>
  <c r="Q24" i="3"/>
  <c r="N24" i="3"/>
  <c r="M24" i="3"/>
  <c r="L24" i="3"/>
  <c r="K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K23" i="3"/>
  <c r="G33" i="1" s="1"/>
  <c r="Z22" i="3"/>
  <c r="Y22" i="3"/>
  <c r="X22" i="3"/>
  <c r="W22" i="3"/>
  <c r="V22" i="3"/>
  <c r="U22" i="3"/>
  <c r="S22" i="3"/>
  <c r="R22" i="3"/>
  <c r="Q22" i="3"/>
  <c r="P22" i="3"/>
  <c r="O22" i="3"/>
  <c r="N22" i="3"/>
  <c r="M22" i="3"/>
  <c r="K22" i="3"/>
  <c r="F33" i="1" s="1"/>
  <c r="Z21" i="3"/>
  <c r="Y21" i="3"/>
  <c r="X21" i="3"/>
  <c r="W21" i="3"/>
  <c r="V21" i="3"/>
  <c r="U21" i="3"/>
  <c r="T21" i="3"/>
  <c r="S21" i="3"/>
  <c r="R21" i="3"/>
  <c r="P21" i="3"/>
  <c r="O21" i="3"/>
  <c r="N21" i="3"/>
  <c r="M21" i="3"/>
  <c r="L21" i="3"/>
  <c r="K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H31" i="1" s="1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Z14" i="3"/>
  <c r="Y14" i="3"/>
  <c r="X14" i="3"/>
  <c r="W14" i="3"/>
  <c r="V14" i="3"/>
  <c r="U14" i="3"/>
  <c r="S14" i="3"/>
  <c r="R14" i="3"/>
  <c r="Q14" i="3"/>
  <c r="P14" i="3"/>
  <c r="O14" i="3"/>
  <c r="N14" i="3"/>
  <c r="M14" i="3"/>
  <c r="L14" i="3"/>
  <c r="K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E31" i="1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D31" i="1" s="1"/>
  <c r="Z11" i="3"/>
  <c r="Y11" i="3"/>
  <c r="X11" i="3"/>
  <c r="W11" i="3"/>
  <c r="V11" i="3"/>
  <c r="U11" i="3"/>
  <c r="T11" i="3"/>
  <c r="S11" i="3"/>
  <c r="R11" i="3"/>
  <c r="Q11" i="3"/>
  <c r="P11" i="3"/>
  <c r="O11" i="3"/>
  <c r="M11" i="3"/>
  <c r="L11" i="3"/>
  <c r="K11" i="3"/>
  <c r="Z10" i="3"/>
  <c r="Y10" i="3"/>
  <c r="X10" i="3"/>
  <c r="W10" i="3"/>
  <c r="V10" i="3"/>
  <c r="U10" i="3"/>
  <c r="T10" i="3"/>
  <c r="S10" i="3"/>
  <c r="R10" i="3"/>
  <c r="Q10" i="3"/>
  <c r="O10" i="3"/>
  <c r="N10" i="3"/>
  <c r="M10" i="3"/>
  <c r="L10" i="3"/>
  <c r="K10" i="3"/>
  <c r="Z9" i="3"/>
  <c r="Y9" i="3"/>
  <c r="X9" i="3"/>
  <c r="W9" i="3"/>
  <c r="V9" i="3"/>
  <c r="U9" i="3"/>
  <c r="T9" i="3"/>
  <c r="S9" i="3"/>
  <c r="R9" i="3"/>
  <c r="Q9" i="3"/>
  <c r="O9" i="3"/>
  <c r="N9" i="3"/>
  <c r="M9" i="3"/>
  <c r="Z8" i="3"/>
  <c r="Y8" i="3"/>
  <c r="X8" i="3"/>
  <c r="W8" i="3"/>
  <c r="V8" i="3"/>
  <c r="U8" i="3"/>
  <c r="T8" i="3"/>
  <c r="S8" i="3"/>
  <c r="R8" i="3"/>
  <c r="Q8" i="3"/>
  <c r="P8" i="3"/>
  <c r="O8" i="3"/>
  <c r="N8" i="3"/>
  <c r="L8" i="3"/>
  <c r="K8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K4" i="3"/>
  <c r="R21" i="2"/>
  <c r="R20" i="2"/>
  <c r="R19" i="2"/>
  <c r="R18" i="2"/>
  <c r="R17" i="2"/>
  <c r="R16" i="2"/>
  <c r="R15" i="2"/>
  <c r="AH14" i="2"/>
  <c r="AG14" i="2"/>
  <c r="AF14" i="2"/>
  <c r="AE14" i="2"/>
  <c r="AD14" i="2"/>
  <c r="AC14" i="2"/>
  <c r="AB14" i="2"/>
  <c r="T97" i="3" s="1"/>
  <c r="AA14" i="2"/>
  <c r="Z14" i="2"/>
  <c r="Y14" i="2"/>
  <c r="X14" i="2"/>
  <c r="G21" i="2" s="1"/>
  <c r="W14" i="2"/>
  <c r="V14" i="2"/>
  <c r="U14" i="2"/>
  <c r="T14" i="2"/>
  <c r="S14" i="2"/>
  <c r="AH13" i="2"/>
  <c r="AG13" i="2"/>
  <c r="P20" i="2" s="1"/>
  <c r="AF13" i="2"/>
  <c r="AE13" i="2"/>
  <c r="AD13" i="2"/>
  <c r="AC13" i="2"/>
  <c r="AB13" i="2"/>
  <c r="T89" i="3" s="1"/>
  <c r="AA13" i="2"/>
  <c r="Z13" i="2"/>
  <c r="Y13" i="2"/>
  <c r="X13" i="2"/>
  <c r="W13" i="2"/>
  <c r="V13" i="2"/>
  <c r="U13" i="2"/>
  <c r="M80" i="3" s="1"/>
  <c r="T13" i="2"/>
  <c r="S13" i="2"/>
  <c r="AH12" i="2"/>
  <c r="Q19" i="2" s="1"/>
  <c r="AG12" i="2"/>
  <c r="AF12" i="2"/>
  <c r="AE12" i="2"/>
  <c r="AD12" i="2"/>
  <c r="AC12" i="2"/>
  <c r="AB12" i="2"/>
  <c r="T71" i="3" s="1"/>
  <c r="AA12" i="2"/>
  <c r="Z12" i="2"/>
  <c r="Y12" i="2"/>
  <c r="Q77" i="3" s="1"/>
  <c r="X12" i="2"/>
  <c r="P71" i="3" s="1"/>
  <c r="W12" i="2"/>
  <c r="V12" i="2"/>
  <c r="N71" i="3" s="1"/>
  <c r="U12" i="2"/>
  <c r="T12" i="2"/>
  <c r="L76" i="3" s="1"/>
  <c r="S12" i="2"/>
  <c r="AH11" i="2"/>
  <c r="AG11" i="2"/>
  <c r="AF11" i="2"/>
  <c r="AE11" i="2"/>
  <c r="AD11" i="2"/>
  <c r="AC11" i="2"/>
  <c r="AB11" i="2"/>
  <c r="T52" i="3" s="1"/>
  <c r="AA11" i="2"/>
  <c r="Z11" i="2"/>
  <c r="R52" i="3" s="1"/>
  <c r="Y11" i="2"/>
  <c r="X11" i="2"/>
  <c r="W11" i="2"/>
  <c r="V11" i="2"/>
  <c r="U11" i="2"/>
  <c r="T11" i="2"/>
  <c r="S11" i="2"/>
  <c r="AH10" i="2"/>
  <c r="Q17" i="2" s="1"/>
  <c r="AG10" i="2"/>
  <c r="P17" i="2" s="1"/>
  <c r="AF10" i="2"/>
  <c r="AE10" i="2"/>
  <c r="AD10" i="2"/>
  <c r="AC10" i="2"/>
  <c r="AB10" i="2"/>
  <c r="T39" i="3" s="1"/>
  <c r="AA10" i="2"/>
  <c r="Z10" i="2"/>
  <c r="I17" i="2" s="1"/>
  <c r="Y10" i="2"/>
  <c r="Q36" i="3" s="1"/>
  <c r="X10" i="2"/>
  <c r="W10" i="2"/>
  <c r="V10" i="2"/>
  <c r="E17" i="2" s="1"/>
  <c r="U10" i="2"/>
  <c r="M36" i="3" s="1"/>
  <c r="T10" i="2"/>
  <c r="L41" i="3" s="1"/>
  <c r="S10" i="2"/>
  <c r="K36" i="3" s="1"/>
  <c r="E37" i="1" s="1"/>
  <c r="AH9" i="2"/>
  <c r="AG9" i="2"/>
  <c r="AF9" i="2"/>
  <c r="AE9" i="2"/>
  <c r="N16" i="2" s="1"/>
  <c r="AD9" i="2"/>
  <c r="AC9" i="2"/>
  <c r="AB9" i="2"/>
  <c r="T29" i="3" s="1"/>
  <c r="AA9" i="2"/>
  <c r="Z9" i="2"/>
  <c r="Y9" i="2"/>
  <c r="Q21" i="3" s="1"/>
  <c r="X9" i="2"/>
  <c r="W9" i="2"/>
  <c r="O24" i="3" s="1"/>
  <c r="V9" i="2"/>
  <c r="U9" i="2"/>
  <c r="D16" i="2" s="1"/>
  <c r="T9" i="2"/>
  <c r="S9" i="2"/>
  <c r="B16" i="2" s="1"/>
  <c r="AH8" i="2"/>
  <c r="AG8" i="2"/>
  <c r="AF8" i="2"/>
  <c r="AE8" i="2"/>
  <c r="AD8" i="2"/>
  <c r="AC8" i="2"/>
  <c r="L15" i="2" s="1"/>
  <c r="AB8" i="2"/>
  <c r="AA8" i="2"/>
  <c r="Z8" i="2"/>
  <c r="Y8" i="2"/>
  <c r="X8" i="2"/>
  <c r="W8" i="2"/>
  <c r="V8" i="2"/>
  <c r="U8" i="2"/>
  <c r="M8" i="3" s="1"/>
  <c r="T8" i="2"/>
  <c r="L9" i="3" s="1"/>
  <c r="S8" i="2"/>
  <c r="K9" i="3" s="1"/>
  <c r="B67" i="1"/>
  <c r="G65" i="1"/>
  <c r="F65" i="1"/>
  <c r="E65" i="1"/>
  <c r="C65" i="1"/>
  <c r="B65" i="1"/>
  <c r="G63" i="1"/>
  <c r="F63" i="1"/>
  <c r="D63" i="1"/>
  <c r="C63" i="1"/>
  <c r="B63" i="1"/>
  <c r="H61" i="1"/>
  <c r="G61" i="1"/>
  <c r="E61" i="1"/>
  <c r="D61" i="1"/>
  <c r="B61" i="1"/>
  <c r="H59" i="1"/>
  <c r="F59" i="1"/>
  <c r="D59" i="1"/>
  <c r="C59" i="1"/>
  <c r="B59" i="1"/>
  <c r="G57" i="1"/>
  <c r="C52" i="1"/>
  <c r="G50" i="1"/>
  <c r="F50" i="1"/>
  <c r="D50" i="1"/>
  <c r="E48" i="1"/>
  <c r="B48" i="1"/>
  <c r="H46" i="1"/>
  <c r="D46" i="1"/>
  <c r="C46" i="1"/>
  <c r="G44" i="1"/>
  <c r="C39" i="1"/>
  <c r="B39" i="1"/>
  <c r="H37" i="1"/>
  <c r="F37" i="1"/>
  <c r="B37" i="1"/>
  <c r="G35" i="1"/>
  <c r="F35" i="1"/>
  <c r="E35" i="1"/>
  <c r="H33" i="1"/>
  <c r="E33" i="1"/>
  <c r="D33" i="1"/>
  <c r="B33" i="1"/>
  <c r="G31" i="1"/>
  <c r="F31" i="1"/>
  <c r="C31" i="1"/>
  <c r="B31" i="1"/>
  <c r="G26" i="1"/>
  <c r="F26" i="1"/>
  <c r="D26" i="1"/>
  <c r="C26" i="1"/>
  <c r="G12" i="1"/>
  <c r="G11" i="1"/>
  <c r="G10" i="1"/>
  <c r="G9" i="1"/>
  <c r="G8" i="1"/>
  <c r="G7" i="1"/>
  <c r="D7" i="1"/>
  <c r="G6" i="1"/>
  <c r="G13" i="1" s="1"/>
  <c r="I21" i="2" l="1"/>
  <c r="J21" i="2"/>
  <c r="L21" i="2"/>
  <c r="M21" i="2"/>
  <c r="B21" i="2"/>
  <c r="N21" i="2"/>
  <c r="C21" i="2"/>
  <c r="O21" i="2"/>
  <c r="D21" i="2"/>
  <c r="P21" i="2"/>
  <c r="L20" i="2"/>
  <c r="M20" i="2"/>
  <c r="B20" i="2"/>
  <c r="N20" i="2"/>
  <c r="E11" i="1"/>
  <c r="C20" i="2"/>
  <c r="O20" i="2"/>
  <c r="Q20" i="2"/>
  <c r="F20" i="2"/>
  <c r="G20" i="2"/>
  <c r="F11" i="1"/>
  <c r="H11" i="1"/>
  <c r="M19" i="2"/>
  <c r="F19" i="2"/>
  <c r="D10" i="1"/>
  <c r="I19" i="2"/>
  <c r="O19" i="2"/>
  <c r="E18" i="2"/>
  <c r="M18" i="2"/>
  <c r="O18" i="2"/>
  <c r="D18" i="2"/>
  <c r="P18" i="2"/>
  <c r="N18" i="2"/>
  <c r="Q18" i="2"/>
  <c r="F18" i="2"/>
  <c r="J18" i="2"/>
  <c r="L18" i="2"/>
  <c r="G18" i="2"/>
  <c r="G17" i="2"/>
  <c r="M17" i="2"/>
  <c r="J17" i="2"/>
  <c r="M79" i="3"/>
  <c r="O6" i="2"/>
  <c r="L17" i="2"/>
  <c r="F17" i="2"/>
  <c r="O17" i="2"/>
  <c r="J20" i="2"/>
  <c r="H18" i="2"/>
  <c r="D19" i="2"/>
  <c r="P19" i="2"/>
  <c r="O10" i="2"/>
  <c r="I20" i="2"/>
  <c r="P16" i="2"/>
  <c r="N19" i="2"/>
  <c r="Q16" i="2"/>
  <c r="M11" i="2"/>
  <c r="I16" i="2"/>
  <c r="P10" i="2"/>
  <c r="L6" i="2"/>
  <c r="J16" i="2"/>
  <c r="I6" i="2"/>
  <c r="Q7" i="2"/>
  <c r="E7" i="1"/>
  <c r="L16" i="2"/>
  <c r="M16" i="2"/>
  <c r="H26" i="1"/>
  <c r="H6" i="1"/>
  <c r="O7" i="2"/>
  <c r="D10" i="2"/>
  <c r="N11" i="2"/>
  <c r="F6" i="2"/>
  <c r="I18" i="2"/>
  <c r="P15" i="2"/>
  <c r="Q15" i="2"/>
  <c r="G11" i="2"/>
  <c r="C11" i="2"/>
  <c r="O11" i="2"/>
  <c r="O8" i="2"/>
  <c r="M4" i="2"/>
  <c r="B11" i="2"/>
  <c r="N10" i="2"/>
  <c r="Q26" i="3"/>
  <c r="H16" i="2" s="1"/>
  <c r="O15" i="2"/>
  <c r="D15" i="2"/>
  <c r="M7" i="2"/>
  <c r="H11" i="2"/>
  <c r="E21" i="2"/>
  <c r="Q21" i="2"/>
  <c r="N17" i="2"/>
  <c r="L7" i="2"/>
  <c r="F15" i="2"/>
  <c r="I15" i="2"/>
  <c r="E11" i="2"/>
  <c r="H21" i="2"/>
  <c r="H20" i="2"/>
  <c r="F21" i="2"/>
  <c r="O4" i="2"/>
  <c r="J15" i="2"/>
  <c r="F11" i="2"/>
  <c r="N11" i="3"/>
  <c r="E15" i="2" s="1"/>
  <c r="F16" i="2"/>
  <c r="L19" i="2"/>
  <c r="Q104" i="3"/>
  <c r="H8" i="1"/>
  <c r="Q10" i="2"/>
  <c r="I11" i="2"/>
  <c r="M15" i="2"/>
  <c r="E19" i="2"/>
  <c r="K61" i="3"/>
  <c r="B6" i="2" s="1"/>
  <c r="S69" i="3"/>
  <c r="M10" i="2"/>
  <c r="C33" i="1"/>
  <c r="F7" i="1"/>
  <c r="E12" i="1"/>
  <c r="N31" i="3"/>
  <c r="H7" i="1"/>
  <c r="E10" i="1"/>
  <c r="D37" i="1"/>
  <c r="Q4" i="2"/>
  <c r="M6" i="2"/>
  <c r="I7" i="2"/>
  <c r="Q8" i="2"/>
  <c r="D8" i="1"/>
  <c r="F10" i="1"/>
  <c r="H12" i="1"/>
  <c r="F4" i="2"/>
  <c r="N6" i="2"/>
  <c r="F8" i="2"/>
  <c r="F10" i="2"/>
  <c r="J11" i="2"/>
  <c r="B15" i="2"/>
  <c r="N15" i="2"/>
  <c r="D17" i="2"/>
  <c r="L4" i="3"/>
  <c r="C15" i="2" s="1"/>
  <c r="P9" i="3"/>
  <c r="T14" i="3"/>
  <c r="K15" i="2" s="1"/>
  <c r="L23" i="3"/>
  <c r="L36" i="3"/>
  <c r="C17" i="2" s="1"/>
  <c r="L52" i="3"/>
  <c r="C18" i="2" s="1"/>
  <c r="T59" i="3"/>
  <c r="K18" i="2" s="1"/>
  <c r="T69" i="3"/>
  <c r="T72" i="3"/>
  <c r="L77" i="3"/>
  <c r="C19" i="2" s="1"/>
  <c r="T82" i="3"/>
  <c r="K20" i="2" s="1"/>
  <c r="T104" i="3"/>
  <c r="K21" i="2" s="1"/>
  <c r="K11" i="2"/>
  <c r="G19" i="2"/>
  <c r="Q41" i="3"/>
  <c r="H17" i="2" s="1"/>
  <c r="Q76" i="3"/>
  <c r="D11" i="2"/>
  <c r="P11" i="2"/>
  <c r="E26" i="1"/>
  <c r="F7" i="2"/>
  <c r="F12" i="1"/>
  <c r="L11" i="2"/>
  <c r="N32" i="3"/>
  <c r="N81" i="3"/>
  <c r="E20" i="2" s="1"/>
  <c r="L8" i="2"/>
  <c r="H15" i="2"/>
  <c r="O16" i="2"/>
  <c r="D12" i="1"/>
  <c r="N4" i="2"/>
  <c r="P8" i="2"/>
  <c r="I8" i="2"/>
  <c r="D20" i="2"/>
  <c r="S70" i="3"/>
  <c r="L4" i="2"/>
  <c r="D7" i="2"/>
  <c r="P7" i="2"/>
  <c r="M8" i="2"/>
  <c r="Q11" i="2"/>
  <c r="D8" i="2"/>
  <c r="B17" i="2"/>
  <c r="N25" i="3"/>
  <c r="E8" i="1"/>
  <c r="D6" i="1"/>
  <c r="F8" i="1"/>
  <c r="H10" i="1"/>
  <c r="C50" i="1"/>
  <c r="D6" i="2"/>
  <c r="P6" i="2"/>
  <c r="E6" i="1"/>
  <c r="D11" i="1"/>
  <c r="I4" i="2"/>
  <c r="Q6" i="2"/>
  <c r="I10" i="2"/>
  <c r="F6" i="1"/>
  <c r="N7" i="2"/>
  <c r="P10" i="3"/>
  <c r="T22" i="3"/>
  <c r="K16" i="2" s="1"/>
  <c r="T35" i="3"/>
  <c r="T44" i="3"/>
  <c r="T70" i="3"/>
  <c r="L10" i="2"/>
  <c r="N8" i="2"/>
  <c r="B19" i="2"/>
  <c r="L22" i="3"/>
  <c r="C16" i="2" s="1"/>
  <c r="P24" i="3"/>
  <c r="T36" i="3"/>
  <c r="D4" i="2"/>
  <c r="P4" i="2"/>
  <c r="H6" i="2" l="1"/>
  <c r="B7" i="2"/>
  <c r="E6" i="2"/>
  <c r="E16" i="2"/>
  <c r="J8" i="2"/>
  <c r="B8" i="2"/>
  <c r="H10" i="2"/>
  <c r="K4" i="2"/>
  <c r="K7" i="2"/>
  <c r="K6" i="2"/>
  <c r="K10" i="2"/>
  <c r="K8" i="2"/>
  <c r="H19" i="2"/>
  <c r="E9" i="1"/>
  <c r="F9" i="1"/>
  <c r="F13" i="1" s="1"/>
  <c r="D9" i="1"/>
  <c r="H48" i="1"/>
  <c r="H8" i="2"/>
  <c r="G6" i="2"/>
  <c r="G4" i="2"/>
  <c r="G10" i="2"/>
  <c r="G8" i="2"/>
  <c r="G7" i="2"/>
  <c r="J19" i="2"/>
  <c r="E4" i="2"/>
  <c r="J4" i="2"/>
  <c r="C6" i="2"/>
  <c r="C8" i="2"/>
  <c r="C7" i="2"/>
  <c r="C10" i="2"/>
  <c r="C4" i="2"/>
  <c r="B18" i="2"/>
  <c r="J10" i="2"/>
  <c r="K17" i="2"/>
  <c r="B4" i="2"/>
  <c r="E10" i="2"/>
  <c r="H4" i="2"/>
  <c r="J6" i="2"/>
  <c r="E8" i="2"/>
  <c r="B10" i="2"/>
  <c r="D13" i="1"/>
  <c r="J7" i="2"/>
  <c r="E7" i="2"/>
  <c r="K19" i="2"/>
  <c r="H7" i="2"/>
  <c r="E13" i="1"/>
  <c r="H9" i="1"/>
  <c r="H13" i="1" s="1"/>
  <c r="G15" i="2"/>
</calcChain>
</file>

<file path=xl/sharedStrings.xml><?xml version="1.0" encoding="utf-8"?>
<sst xmlns="http://schemas.openxmlformats.org/spreadsheetml/2006/main" count="1273" uniqueCount="214">
  <si>
    <t>APP Staff Schedule · Oct 26 – Jan 31, 2027</t>
  </si>
  <si>
    <t>Staff member:</t>
  </si>
  <si>
    <t>Katie</t>
  </si>
  <si>
    <t>REMAINING TO FILL (this person, by pay period)</t>
  </si>
  <si>
    <t>Pay period</t>
  </si>
  <si>
    <t>Dates</t>
  </si>
  <si>
    <t>Target</t>
  </si>
  <si>
    <t>Scheduled</t>
  </si>
  <si>
    <t>Remaining</t>
  </si>
  <si>
    <t>CME</t>
  </si>
  <si>
    <t>PTO</t>
  </si>
  <si>
    <t>PP1</t>
  </si>
  <si>
    <t>Oct 26 – Nov 08</t>
  </si>
  <si>
    <t>PP2</t>
  </si>
  <si>
    <t>Nov 09 – Nov 22</t>
  </si>
  <si>
    <t>PP3</t>
  </si>
  <si>
    <t>Nov 23 – Dec 06</t>
  </si>
  <si>
    <t>PP4</t>
  </si>
  <si>
    <t>Dec 07 – Dec 20</t>
  </si>
  <si>
    <t>PP5</t>
  </si>
  <si>
    <t>Dec 21 – Jan 03</t>
  </si>
  <si>
    <t>PP6</t>
  </si>
  <si>
    <t>Jan 04 – Jan 17</t>
  </si>
  <si>
    <t>PP7</t>
  </si>
  <si>
    <t>Jan 18 – Jan 31</t>
  </si>
  <si>
    <t>TOTAL</t>
  </si>
  <si>
    <t>October 2026</t>
  </si>
  <si>
    <t>Sun</t>
  </si>
  <si>
    <t>Mon</t>
  </si>
  <si>
    <t>Tue</t>
  </si>
  <si>
    <t>Wed</t>
  </si>
  <si>
    <t>Thu</t>
  </si>
  <si>
    <t>Fri</t>
  </si>
  <si>
    <t>Sat</t>
  </si>
  <si>
    <t>November 2026</t>
  </si>
  <si>
    <t>December 2026</t>
  </si>
  <si>
    <t>January 2027</t>
  </si>
  <si>
    <t>APP1 / APP2 / APP 3 = day shift  ·  Night = night shift  ·  CME = conference  ·  OFF = vacation / day off</t>
  </si>
  <si>
    <t>Dotted amber cell = fewer than 3 day workers that day  ·  dotted red = night shift unfilled</t>
  </si>
  <si>
    <t>Select staff member in cell C2 to change the view</t>
  </si>
  <si>
    <t>SCHEDULE SUMMARY · Oct 26 – Jan 31, 2027</t>
  </si>
  <si>
    <t>Overview</t>
  </si>
  <si>
    <t>Hayden</t>
  </si>
  <si>
    <t>John</t>
  </si>
  <si>
    <t>Maureen</t>
  </si>
  <si>
    <t>Mandie</t>
  </si>
  <si>
    <t>Caroline</t>
  </si>
  <si>
    <t>Kristin</t>
  </si>
  <si>
    <t>Radha</t>
  </si>
  <si>
    <t>Jamie</t>
  </si>
  <si>
    <t>Todd</t>
  </si>
  <si>
    <t>Matt</t>
  </si>
  <si>
    <t>Jen</t>
  </si>
  <si>
    <t>Kennedy</t>
  </si>
  <si>
    <t>Preet</t>
  </si>
  <si>
    <t>Rose</t>
  </si>
  <si>
    <t>Katia</t>
  </si>
  <si>
    <t>Scheduled Shifts</t>
  </si>
  <si>
    <t>Credited Days (CME/Conf)</t>
  </si>
  <si>
    <t>Total incl. Credited</t>
  </si>
  <si>
    <t>Night Shifts</t>
  </si>
  <si>
    <t>Weekend Shifts</t>
  </si>
  <si>
    <t>Req. Off Days</t>
  </si>
  <si>
    <t>PTO Needed</t>
  </si>
  <si>
    <t>Shortfall (shift-days)</t>
  </si>
  <si>
    <t>Pay Period Detail</t>
  </si>
  <si>
    <t>Empty shifts</t>
  </si>
  <si>
    <t>PP1  (Oct 26 – Nov 08)</t>
  </si>
  <si>
    <t>PP2  (Nov 09 – Nov 22)</t>
  </si>
  <si>
    <t>PP3  (Nov 23 – Dec 06)</t>
  </si>
  <si>
    <t>PP4  (Dec 07 – Dec 20)</t>
  </si>
  <si>
    <t>PP5  (Dec 21 – Jan 03)</t>
  </si>
  <si>
    <t>PP6  (Jan 04 – Jan 17)</t>
  </si>
  <si>
    <t>PP7  (Jan 18 – Jan 31)</t>
  </si>
  <si>
    <t>Staffing &amp; Rules</t>
  </si>
  <si>
    <t>Zero-APP Days</t>
  </si>
  <si>
    <t>✓ None</t>
  </si>
  <si>
    <t>Unstaffed Nights</t>
  </si>
  <si>
    <t>7 nights unstaffed</t>
  </si>
  <si>
    <t>Day→Night Buffer Violations</t>
  </si>
  <si>
    <t>0 occurrences — flagged with dashed orange border in Schedule</t>
  </si>
  <si>
    <t>Night Recovery</t>
  </si>
  <si>
    <t>After last night of streak: blocked D+1 and D+2; eligible again D+3</t>
  </si>
  <si>
    <t>Max Consecutive Nights</t>
  </si>
  <si>
    <t>3</t>
  </si>
  <si>
    <t>Max Consecutive Work Days</t>
  </si>
  <si>
    <t>4</t>
  </si>
  <si>
    <t>PTO Logic</t>
  </si>
  <si>
    <t>PTO needed per PP is set by OFF+VAC days requested: 5-6→1, 7-8→2, 9-10→3, 11-12→4, 13→5, 14→6. Target = 6 - CME - PTO. PTO is a count only — not pinned to specific days.</t>
  </si>
  <si>
    <t>MICU</t>
  </si>
  <si>
    <t>FC3</t>
  </si>
  <si>
    <t>Date</t>
  </si>
  <si>
    <t>Day</t>
  </si>
  <si>
    <t>PP</t>
  </si>
  <si>
    <t>DAY</t>
  </si>
  <si>
    <t>NIGHT</t>
  </si>
  <si>
    <t>FC3_D</t>
  </si>
  <si>
    <t>FC3_N</t>
  </si>
  <si>
    <t>_key_</t>
  </si>
  <si>
    <t>PP1   Oct 26 – Nov 08</t>
  </si>
  <si>
    <t>T:6</t>
  </si>
  <si>
    <t>T:5</t>
  </si>
  <si>
    <t>T:4/C:2</t>
  </si>
  <si>
    <t>T:0</t>
  </si>
  <si>
    <t>10/26/26</t>
  </si>
  <si>
    <t/>
  </si>
  <si>
    <t>10/27/26</t>
  </si>
  <si>
    <t>10/28/26</t>
  </si>
  <si>
    <t>10/29/26</t>
  </si>
  <si>
    <t>10/30/26</t>
  </si>
  <si>
    <t>10/31/26</t>
  </si>
  <si>
    <t>11/01/26</t>
  </si>
  <si>
    <t>11/02/26</t>
  </si>
  <si>
    <t>11/03/26</t>
  </si>
  <si>
    <t>11/04/26</t>
  </si>
  <si>
    <t>11/05/26</t>
  </si>
  <si>
    <t>11/06/26</t>
  </si>
  <si>
    <t>11/07/26</t>
  </si>
  <si>
    <t>11/08/26</t>
  </si>
  <si>
    <t>PP2   Nov 09 – Nov 22</t>
  </si>
  <si>
    <t>T:5/C:1</t>
  </si>
  <si>
    <t>11/09/26</t>
  </si>
  <si>
    <t>11/10/26</t>
  </si>
  <si>
    <t>11/11/26</t>
  </si>
  <si>
    <t>11/12/26</t>
  </si>
  <si>
    <t>11/13/26</t>
  </si>
  <si>
    <t>11/14/26</t>
  </si>
  <si>
    <t>11/15/26</t>
  </si>
  <si>
    <t>11/16/26</t>
  </si>
  <si>
    <t>11/17/26</t>
  </si>
  <si>
    <t>11/18/26</t>
  </si>
  <si>
    <t>11/19/26</t>
  </si>
  <si>
    <t>11/20/26</t>
  </si>
  <si>
    <t>11/21/26</t>
  </si>
  <si>
    <t>11/22/26</t>
  </si>
  <si>
    <t>PP3   Nov 23 – Dec 06</t>
  </si>
  <si>
    <t>T:4</t>
  </si>
  <si>
    <t>11/23/26</t>
  </si>
  <si>
    <t>11/24/26</t>
  </si>
  <si>
    <t>11/25/26</t>
  </si>
  <si>
    <t>11/26/26</t>
  </si>
  <si>
    <t>11/27/26</t>
  </si>
  <si>
    <t>11/28/26</t>
  </si>
  <si>
    <t>11/29/26</t>
  </si>
  <si>
    <t>11/30/26</t>
  </si>
  <si>
    <t>12/01/26</t>
  </si>
  <si>
    <t>12/02/26</t>
  </si>
  <si>
    <t>12/03/26</t>
  </si>
  <si>
    <t>12/04/26</t>
  </si>
  <si>
    <t>12/05/26</t>
  </si>
  <si>
    <t>12/06/26</t>
  </si>
  <si>
    <t>PP4   Dec 07 – Dec 20</t>
  </si>
  <si>
    <t>12/07/26</t>
  </si>
  <si>
    <t>12/08/26</t>
  </si>
  <si>
    <t>12/09/26</t>
  </si>
  <si>
    <t>12/10/26</t>
  </si>
  <si>
    <t>12/11/26</t>
  </si>
  <si>
    <t>12/12/26</t>
  </si>
  <si>
    <t>12/13/26</t>
  </si>
  <si>
    <t>12/14/26</t>
  </si>
  <si>
    <t>12/15/26</t>
  </si>
  <si>
    <t>12/16/26</t>
  </si>
  <si>
    <t>12/17/26</t>
  </si>
  <si>
    <t>12/18/26</t>
  </si>
  <si>
    <t>12/19/26</t>
  </si>
  <si>
    <t>12/20/26</t>
  </si>
  <si>
    <t>PP5   Dec 21 – Jan 03</t>
  </si>
  <si>
    <t>12/21/26</t>
  </si>
  <si>
    <t>12/22/26</t>
  </si>
  <si>
    <t>12/23/26</t>
  </si>
  <si>
    <t>12/24/26</t>
  </si>
  <si>
    <t>12/25/26</t>
  </si>
  <si>
    <t>12/26/26</t>
  </si>
  <si>
    <t>12/27/26</t>
  </si>
  <si>
    <t>12/28/26</t>
  </si>
  <si>
    <t>12/29/26</t>
  </si>
  <si>
    <t>12/30/26</t>
  </si>
  <si>
    <t>12/31/26</t>
  </si>
  <si>
    <t>01/01/27</t>
  </si>
  <si>
    <t>01/02/27</t>
  </si>
  <si>
    <t>01/03/27</t>
  </si>
  <si>
    <t>PP6   Jan 04 – Jan 17</t>
  </si>
  <si>
    <t>01/04/27</t>
  </si>
  <si>
    <t>01/05/27</t>
  </si>
  <si>
    <t>01/06/27</t>
  </si>
  <si>
    <t>01/07/27</t>
  </si>
  <si>
    <t>01/08/27</t>
  </si>
  <si>
    <t>01/09/27</t>
  </si>
  <si>
    <t>01/10/27</t>
  </si>
  <si>
    <t>01/11/27</t>
  </si>
  <si>
    <t>01/12/27</t>
  </si>
  <si>
    <t>01/13/27</t>
  </si>
  <si>
    <t>01/14/27</t>
  </si>
  <si>
    <t>01/15/27</t>
  </si>
  <si>
    <t>01/16/27</t>
  </si>
  <si>
    <t>01/17/27</t>
  </si>
  <si>
    <t>PP7   Jan 18 – Jan 31</t>
  </si>
  <si>
    <t>T:3</t>
  </si>
  <si>
    <t>01/18/27</t>
  </si>
  <si>
    <t>01/19/27</t>
  </si>
  <si>
    <t>01/20/27</t>
  </si>
  <si>
    <t>01/21/27</t>
  </si>
  <si>
    <t>01/22/27</t>
  </si>
  <si>
    <t>01/23/27</t>
  </si>
  <si>
    <t>01/24/27</t>
  </si>
  <si>
    <t>01/25/27</t>
  </si>
  <si>
    <t>01/26/27</t>
  </si>
  <si>
    <t>01/27/27</t>
  </si>
  <si>
    <t>01/28/27</t>
  </si>
  <si>
    <t>01/29/27</t>
  </si>
  <si>
    <t>01/30/27</t>
  </si>
  <si>
    <t>01/31/27</t>
  </si>
  <si>
    <t>Notes</t>
  </si>
  <si>
    <t>Shifts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</si>
</sst>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b/>
      <sz val="12"/>
      <color rgb="FF1F3864"/>
      <name val="Calibri"/>
      <family val="2"/>
    </font>
    <font>
      <sz val="8"/>
      <color rgb="FF888888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666666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833C00"/>
      <name val="Calibri"/>
      <family val="2"/>
    </font>
    <font>
      <b/>
      <sz val="11"/>
      <color rgb="FF1F3864"/>
      <name val="Calibri"/>
      <family val="2"/>
    </font>
    <font>
      <b/>
      <sz val="9"/>
      <color rgb="FFFFFFFF"/>
      <name val="Calibri"/>
      <family val="2"/>
    </font>
    <font>
      <sz val="8"/>
      <color rgb="FFCCCCCC"/>
      <name val="Calibri"/>
      <family val="2"/>
    </font>
    <font>
      <sz val="8"/>
      <color rgb="FF555555"/>
      <name val="Calibri"/>
      <family val="2"/>
    </font>
    <font>
      <b/>
      <sz val="10"/>
      <color rgb="FF1A5276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b/>
      <sz val="9"/>
      <color rgb="FF1F3864"/>
      <name val="Calibri"/>
      <family val="2"/>
    </font>
    <font>
      <sz val="9"/>
      <color rgb="FF333333"/>
      <name val="Calibri"/>
      <family val="2"/>
    </font>
    <font>
      <sz val="8"/>
      <color rgb="FF1F3864"/>
      <name val="Calibri"/>
      <family val="2"/>
    </font>
    <font>
      <b/>
      <sz val="9"/>
      <color rgb="FF1A5276"/>
      <name val="Calibri"/>
      <family val="2"/>
    </font>
    <font>
      <sz val="9"/>
      <color rgb="FF404040"/>
      <name val="Calibri"/>
      <family val="2"/>
    </font>
    <font>
      <sz val="9"/>
      <color rgb="FF5B3A8E"/>
      <name val="Calibri"/>
      <family val="2"/>
    </font>
    <font>
      <sz val="9"/>
      <color rgb="FF000000"/>
      <name val="Calibri"/>
      <family val="2"/>
    </font>
    <font>
      <sz val="7"/>
      <color rgb="FFCCCCCC"/>
      <name val="Calibri"/>
      <family val="2"/>
    </font>
    <font>
      <sz val="11"/>
      <color theme="1"/>
      <name val="Calibri"/>
      <family val="2"/>
    </font>
    <font>
      <b/>
      <sz val="11"/>
      <color rgb="FF1A5276"/>
      <name val="Calibri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AE3F3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6D01"/>
      </patternFill>
    </fill>
    <fill>
      <patternFill patternType="solid">
        <fgColor rgb="FFFCE4D6"/>
      </patternFill>
    </fill>
    <fill>
      <patternFill patternType="solid">
        <fgColor rgb="FFD6E4F3"/>
      </patternFill>
    </fill>
    <fill>
      <patternFill patternType="solid">
        <fgColor rgb="FF203864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EEF1FF"/>
      </patternFill>
    </fill>
    <fill>
      <patternFill patternType="solid">
        <fgColor rgb="FFFFFAF0"/>
      </patternFill>
    </fill>
    <fill>
      <patternFill patternType="solid">
        <fgColor rgb="FFE2EFDA"/>
      </patternFill>
    </fill>
    <fill>
      <patternFill patternType="solid">
        <fgColor rgb="FFDBEDFF"/>
      </patternFill>
    </fill>
    <fill>
      <patternFill patternType="solid">
        <fgColor rgb="FFFFFBF0"/>
      </patternFill>
    </fill>
    <fill>
      <patternFill patternType="solid">
        <fgColor rgb="FF5B3A8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D6E4F3"/>
        <bgColor rgb="FFD6E4F3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CCCCCC"/>
        <bgColor rgb="FFCCCCCC"/>
      </patternFill>
    </fill>
    <fill>
      <patternFill patternType="solid">
        <fgColor rgb="FFEEF1FF"/>
        <bgColor rgb="FFEEF1FF"/>
      </patternFill>
    </fill>
  </fills>
  <borders count="5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000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medium">
        <color rgb="FF000000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medium">
        <color rgb="FF000000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BBBBBB"/>
      </right>
      <top style="medium">
        <color rgb="FF000000"/>
      </top>
      <bottom style="medium">
        <color rgb="FF000000"/>
      </bottom>
      <diagonal/>
    </border>
    <border>
      <left style="thin">
        <color rgb="FFBBBBBB"/>
      </left>
      <right style="thin">
        <color rgb="FFBBBBBB"/>
      </right>
      <top style="medium">
        <color rgb="FF000000"/>
      </top>
      <bottom style="medium">
        <color rgb="FF000000"/>
      </bottom>
      <diagonal/>
    </border>
    <border>
      <left style="thin">
        <color rgb="FFBBBBBB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/>
      <diagonal/>
    </border>
    <border>
      <left style="thin">
        <color rgb="FFDDDDDD"/>
      </left>
      <right style="thin">
        <color rgb="FF000000"/>
      </right>
      <top/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BBBBBB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DDDDDD"/>
      </right>
      <top/>
      <bottom style="thin">
        <color rgb="FFDDDDDD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/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/>
      <top style="thin">
        <color rgb="FFDDDDDD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medium">
        <color rgb="FF000000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thin">
        <color rgb="FFBBBBBB"/>
      </left>
      <right style="medium">
        <color rgb="FF000000"/>
      </right>
      <top style="medium">
        <color indexed="64"/>
      </top>
      <bottom style="thin">
        <color rgb="FFBBBBBB"/>
      </bottom>
      <diagonal/>
    </border>
    <border>
      <left style="thin">
        <color rgb="FFBBBBBB"/>
      </left>
      <right style="medium">
        <color indexed="64"/>
      </right>
      <top style="medium">
        <color indexed="64"/>
      </top>
      <bottom style="thin">
        <color rgb="FFBBBBBB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thin">
        <color rgb="FFBBBBBB"/>
      </bottom>
      <diagonal/>
    </border>
    <border>
      <left style="medium">
        <color rgb="FF000000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thin">
        <color rgb="FFDDDDDD"/>
      </left>
      <right style="medium">
        <color rgb="FF000000"/>
      </right>
      <top style="thin">
        <color rgb="FFDDDDDD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20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left" vertical="center"/>
    </xf>
    <xf numFmtId="0" fontId="21" fillId="14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28" fillId="11" borderId="5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8" fillId="12" borderId="5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27" fillId="11" borderId="8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23" fillId="16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17" borderId="11" xfId="0" applyFont="1" applyFill="1" applyBorder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25" fillId="18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2" fillId="19" borderId="10" xfId="0" applyFont="1" applyFill="1" applyBorder="1" applyAlignment="1">
      <alignment horizontal="center" vertical="center"/>
    </xf>
    <xf numFmtId="0" fontId="26" fillId="22" borderId="10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25" borderId="10" xfId="0" applyFont="1" applyFill="1" applyBorder="1" applyAlignment="1">
      <alignment horizontal="center" vertical="center"/>
    </xf>
    <xf numFmtId="0" fontId="0" fillId="0" borderId="0" xfId="0" applyBorder="1"/>
    <xf numFmtId="0" fontId="13" fillId="21" borderId="25" xfId="0" applyFont="1" applyFill="1" applyBorder="1" applyAlignment="1">
      <alignment horizontal="center" vertical="center"/>
    </xf>
    <xf numFmtId="0" fontId="31" fillId="24" borderId="14" xfId="0" applyFont="1" applyFill="1" applyBorder="1" applyAlignment="1">
      <alignment horizontal="center" vertical="center"/>
    </xf>
    <xf numFmtId="0" fontId="31" fillId="24" borderId="17" xfId="0" applyFont="1" applyFill="1" applyBorder="1" applyAlignment="1">
      <alignment horizontal="center" vertical="center"/>
    </xf>
    <xf numFmtId="0" fontId="31" fillId="24" borderId="15" xfId="0" applyFont="1" applyFill="1" applyBorder="1" applyAlignment="1">
      <alignment horizontal="center" vertical="center"/>
    </xf>
    <xf numFmtId="0" fontId="13" fillId="24" borderId="29" xfId="0" applyFont="1" applyFill="1" applyBorder="1" applyAlignment="1">
      <alignment horizontal="center" vertical="center"/>
    </xf>
    <xf numFmtId="0" fontId="31" fillId="24" borderId="20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13" fillId="24" borderId="18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center" vertical="center"/>
    </xf>
    <xf numFmtId="0" fontId="13" fillId="24" borderId="28" xfId="0" applyFont="1" applyFill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0" fillId="21" borderId="26" xfId="0" applyFont="1" applyFill="1" applyBorder="1" applyAlignment="1">
      <alignment horizontal="center" vertical="center"/>
    </xf>
    <xf numFmtId="0" fontId="30" fillId="21" borderId="27" xfId="0" applyFont="1" applyFill="1" applyBorder="1" applyAlignment="1">
      <alignment horizontal="center" vertical="center"/>
    </xf>
    <xf numFmtId="0" fontId="22" fillId="22" borderId="15" xfId="0" applyFont="1" applyFill="1" applyBorder="1" applyAlignment="1">
      <alignment horizontal="center" vertical="center"/>
    </xf>
    <xf numFmtId="0" fontId="22" fillId="22" borderId="16" xfId="0" applyFont="1" applyFill="1" applyBorder="1" applyAlignment="1">
      <alignment horizontal="center" vertical="center"/>
    </xf>
    <xf numFmtId="0" fontId="30" fillId="24" borderId="15" xfId="0" applyFont="1" applyFill="1" applyBorder="1" applyAlignment="1">
      <alignment horizontal="center" vertical="center"/>
    </xf>
    <xf numFmtId="0" fontId="22" fillId="22" borderId="5" xfId="0" applyFont="1" applyFill="1" applyBorder="1" applyAlignment="1">
      <alignment horizontal="center" vertical="center"/>
    </xf>
    <xf numFmtId="0" fontId="22" fillId="22" borderId="19" xfId="0" applyFont="1" applyFill="1" applyBorder="1" applyAlignment="1">
      <alignment horizontal="center" vertical="center"/>
    </xf>
    <xf numFmtId="0" fontId="30" fillId="24" borderId="18" xfId="0" applyFont="1" applyFill="1" applyBorder="1" applyAlignment="1">
      <alignment horizontal="center" vertical="center"/>
    </xf>
    <xf numFmtId="0" fontId="22" fillId="25" borderId="5" xfId="0" applyFont="1" applyFill="1" applyBorder="1" applyAlignment="1">
      <alignment horizontal="center" vertical="center"/>
    </xf>
    <xf numFmtId="0" fontId="22" fillId="25" borderId="19" xfId="0" applyFont="1" applyFill="1" applyBorder="1" applyAlignment="1">
      <alignment horizontal="center" vertical="center"/>
    </xf>
    <xf numFmtId="0" fontId="30" fillId="24" borderId="5" xfId="0" applyFont="1" applyFill="1" applyBorder="1" applyAlignment="1">
      <alignment horizontal="center" vertical="center"/>
    </xf>
    <xf numFmtId="0" fontId="22" fillId="25" borderId="21" xfId="0" applyFont="1" applyFill="1" applyBorder="1" applyAlignment="1">
      <alignment horizontal="center" vertical="center"/>
    </xf>
    <xf numFmtId="0" fontId="22" fillId="25" borderId="22" xfId="0" applyFont="1" applyFill="1" applyBorder="1" applyAlignment="1">
      <alignment horizontal="center" vertical="center"/>
    </xf>
    <xf numFmtId="0" fontId="30" fillId="24" borderId="21" xfId="0" applyFont="1" applyFill="1" applyBorder="1" applyAlignment="1">
      <alignment horizontal="center" vertical="center"/>
    </xf>
    <xf numFmtId="0" fontId="6" fillId="20" borderId="30" xfId="0" applyFont="1" applyFill="1" applyBorder="1" applyAlignment="1">
      <alignment horizontal="center" vertical="center"/>
    </xf>
    <xf numFmtId="0" fontId="6" fillId="20" borderId="31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/>
    </xf>
    <xf numFmtId="0" fontId="13" fillId="21" borderId="33" xfId="0" applyFont="1" applyFill="1" applyBorder="1" applyAlignment="1">
      <alignment horizontal="center" vertical="center"/>
    </xf>
    <xf numFmtId="0" fontId="30" fillId="21" borderId="34" xfId="0" applyFont="1" applyFill="1" applyBorder="1" applyAlignment="1">
      <alignment horizontal="center" vertical="center"/>
    </xf>
    <xf numFmtId="0" fontId="22" fillId="22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2" fillId="22" borderId="37" xfId="0" applyFont="1" applyFill="1" applyBorder="1" applyAlignment="1">
      <alignment horizontal="center" vertical="center"/>
    </xf>
    <xf numFmtId="0" fontId="22" fillId="25" borderId="37" xfId="0" applyFont="1" applyFill="1" applyBorder="1" applyAlignment="1">
      <alignment horizontal="center" vertical="center"/>
    </xf>
    <xf numFmtId="0" fontId="22" fillId="25" borderId="38" xfId="0" applyFont="1" applyFill="1" applyBorder="1" applyAlignment="1">
      <alignment horizontal="center" vertical="center"/>
    </xf>
    <xf numFmtId="0" fontId="22" fillId="25" borderId="39" xfId="0" applyFont="1" applyFill="1" applyBorder="1" applyAlignment="1">
      <alignment horizontal="center" vertical="center"/>
    </xf>
    <xf numFmtId="0" fontId="22" fillId="25" borderId="40" xfId="0" applyFont="1" applyFill="1" applyBorder="1" applyAlignment="1">
      <alignment horizontal="center" vertical="center"/>
    </xf>
    <xf numFmtId="0" fontId="22" fillId="25" borderId="41" xfId="0" applyFont="1" applyFill="1" applyBorder="1" applyAlignment="1">
      <alignment horizontal="center" vertical="center"/>
    </xf>
    <xf numFmtId="0" fontId="31" fillId="24" borderId="42" xfId="0" applyFont="1" applyFill="1" applyBorder="1" applyAlignment="1">
      <alignment horizontal="center" vertical="center"/>
    </xf>
    <xf numFmtId="0" fontId="31" fillId="24" borderId="43" xfId="0" applyFont="1" applyFill="1" applyBorder="1" applyAlignment="1">
      <alignment horizontal="center" vertical="center"/>
    </xf>
    <xf numFmtId="0" fontId="31" fillId="24" borderId="40" xfId="0" applyFont="1" applyFill="1" applyBorder="1" applyAlignment="1">
      <alignment horizontal="center" vertical="center"/>
    </xf>
    <xf numFmtId="0" fontId="30" fillId="24" borderId="40" xfId="0" applyFont="1" applyFill="1" applyBorder="1" applyAlignment="1">
      <alignment horizontal="center" vertical="center"/>
    </xf>
    <xf numFmtId="0" fontId="13" fillId="24" borderId="44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10" fillId="8" borderId="50" xfId="0" applyFont="1" applyFill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0" fillId="8" borderId="51" xfId="0" applyFont="1" applyFill="1" applyBorder="1" applyAlignment="1">
      <alignment horizontal="center" vertical="center"/>
    </xf>
    <xf numFmtId="0" fontId="10" fillId="8" borderId="50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0" fontId="22" fillId="11" borderId="37" xfId="0" applyFont="1" applyFill="1" applyBorder="1" applyAlignment="1">
      <alignment horizontal="center" vertical="center"/>
    </xf>
    <xf numFmtId="0" fontId="29" fillId="10" borderId="53" xfId="0" applyFont="1" applyFill="1" applyBorder="1" applyAlignment="1">
      <alignment horizontal="center" vertical="center"/>
    </xf>
    <xf numFmtId="0" fontId="22" fillId="12" borderId="37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5" fillId="18" borderId="56" xfId="0" applyFont="1" applyFill="1" applyBorder="1" applyAlignment="1">
      <alignment horizontal="center" vertical="center"/>
    </xf>
    <xf numFmtId="0" fontId="25" fillId="18" borderId="40" xfId="0" applyFont="1" applyFill="1" applyBorder="1" applyAlignment="1">
      <alignment horizontal="center" vertical="center"/>
    </xf>
    <xf numFmtId="0" fontId="22" fillId="19" borderId="57" xfId="0" applyFont="1" applyFill="1" applyBorder="1" applyAlignment="1">
      <alignment horizontal="center" vertical="center"/>
    </xf>
    <xf numFmtId="0" fontId="27" fillId="12" borderId="56" xfId="0" applyFont="1" applyFill="1" applyBorder="1" applyAlignment="1">
      <alignment horizontal="center" vertical="center"/>
    </xf>
    <xf numFmtId="0" fontId="27" fillId="12" borderId="40" xfId="0" applyFont="1" applyFill="1" applyBorder="1" applyAlignment="1">
      <alignment horizontal="center" vertical="center"/>
    </xf>
    <xf numFmtId="0" fontId="27" fillId="12" borderId="57" xfId="0" applyFont="1" applyFill="1" applyBorder="1" applyAlignment="1">
      <alignment horizontal="center" vertical="center"/>
    </xf>
    <xf numFmtId="0" fontId="28" fillId="12" borderId="40" xfId="0" applyFont="1" applyFill="1" applyBorder="1" applyAlignment="1">
      <alignment horizontal="center" vertical="center"/>
    </xf>
    <xf numFmtId="0" fontId="29" fillId="10" borderId="58" xfId="0" applyFont="1" applyFill="1" applyBorder="1" applyAlignment="1">
      <alignment horizontal="center" vertical="center"/>
    </xf>
  </cellXfs>
  <cellStyles count="1">
    <cellStyle name="Normal" xfId="0" builtinId="0"/>
  </cellStyles>
  <dxfs count="467"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b/>
        <sz val="11"/>
        <color rgb="FF1A5276"/>
        <name val="Calibri"/>
      </font>
      <fill>
        <patternFill patternType="solid">
          <fgColor rgb="FFE2EFDA"/>
        </patternFill>
      </fill>
    </dxf>
    <dxf>
      <font>
        <b/>
        <sz val="11"/>
        <color rgb="FF1F3864"/>
        <name val="Calibri"/>
      </font>
      <fill>
        <patternFill patternType="solid">
          <fgColor rgb="FFD6E4F0"/>
        </patternFill>
      </fill>
    </dxf>
    <dxf>
      <font>
        <b/>
        <sz val="11"/>
        <color rgb="FF5B3A8E"/>
        <name val="Calibri"/>
      </font>
      <fill>
        <patternFill patternType="solid">
          <fgColor rgb="FFE4DFEC"/>
        </patternFill>
      </fill>
    </dxf>
    <dxf>
      <font>
        <b/>
        <sz val="11"/>
        <color rgb="FF8B0000"/>
        <name val="Calibri"/>
      </font>
      <fill>
        <patternFill patternType="solid">
          <fgColor rgb="FFF4CCCC"/>
        </patternFill>
      </fill>
    </dxf>
    <dxf>
      <font>
        <b/>
        <sz val="11"/>
        <color rgb="FFFFFFFF"/>
        <name val="Calibri"/>
      </font>
      <fill>
        <patternFill patternType="solid">
          <fgColor rgb="FFFF6D01"/>
        </patternFill>
      </fill>
    </dxf>
    <dxf>
      <font>
        <b/>
        <sz val="11"/>
        <color rgb="FF8B0000"/>
        <name val="Calibri"/>
      </font>
      <fill>
        <patternFill patternType="solid">
          <fgColor rgb="FFFF99CC"/>
        </patternFill>
      </fill>
    </dxf>
    <dxf>
      <font>
        <sz val="11"/>
        <color rgb="FF8A6D00"/>
        <name val="Calibri"/>
      </font>
      <fill>
        <patternFill patternType="solid">
          <fgColor rgb="FFFCE4D6"/>
        </patternFill>
      </fill>
    </dxf>
    <dxf>
      <font>
        <sz val="11"/>
        <color rgb="FF000000"/>
        <name val="Calibri"/>
      </font>
      <border>
        <left style="dashed">
          <color rgb="FFFF6D01"/>
        </left>
        <right style="dashed">
          <color rgb="FFFF6D01"/>
        </right>
        <top style="dashed">
          <color rgb="FFFF6D01"/>
        </top>
        <bottom style="dashed">
          <color rgb="FFFF6D01"/>
        </bottom>
      </border>
    </dxf>
    <dxf>
      <font>
        <b/>
        <sz val="11"/>
        <color rgb="FF5B3A8E"/>
        <name val="Calibri"/>
      </font>
      <fill>
        <patternFill patternType="solid">
          <fgColor rgb="FFE4DFEC"/>
        </patternFill>
      </fill>
    </dxf>
    <dxf>
      <font>
        <b/>
        <sz val="11"/>
        <color rgb="FF1F3864"/>
        <name val="Calibri"/>
      </font>
      <fill>
        <patternFill patternType="solid">
          <fgColor rgb="FFD6E4F0"/>
        </patternFill>
      </fill>
    </dxf>
    <dxf>
      <font>
        <b/>
        <sz val="11"/>
        <color rgb="FF1A5276"/>
        <name val="Calibri"/>
      </font>
      <fill>
        <patternFill patternType="solid">
          <fgColor rgb="FFE2EFDA"/>
        </patternFill>
      </fill>
    </dxf>
    <dxf>
      <font>
        <b/>
        <sz val="11"/>
        <color rgb="FFC00000"/>
        <name val="Calibri"/>
      </font>
      <fill>
        <patternFill patternType="solid">
          <fgColor rgb="FFFFE0E0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C00000"/>
        <name val="Calibri"/>
      </font>
      <fill>
        <patternFill patternType="solid">
          <fgColor rgb="FFFFE0E0"/>
        </patternFill>
      </fill>
    </dxf>
    <dxf>
      <font>
        <b/>
        <sz val="11"/>
        <color rgb="FF8B0000"/>
        <name val="Calibri"/>
      </font>
      <fill>
        <patternFill patternType="solid">
          <fgColor rgb="FFFF9999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</patternFill>
      </fill>
    </dxf>
    <dxf>
      <font>
        <b/>
        <sz val="11"/>
        <color rgb="FF0066CC"/>
        <name val="Calibri"/>
      </font>
      <fill>
        <patternFill patternType="solid">
          <fgColor rgb="FFD6E4F3"/>
        </patternFill>
      </fill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b/>
        <sz val="10"/>
        <color rgb="FF8B0000"/>
        <name val="Calibri"/>
      </font>
      <fill>
        <patternFill patternType="solid">
          <fgColor rgb="FFF4CCCC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b/>
        <sz val="11"/>
        <color rgb="FF1A5276"/>
        <name val="Calibri"/>
      </font>
      <fill>
        <patternFill patternType="solid">
          <fgColor rgb="FFE2EFDA"/>
        </patternFill>
      </fill>
    </dxf>
    <dxf>
      <font>
        <b/>
        <sz val="11"/>
        <color rgb="FF1F3864"/>
        <name val="Calibri"/>
      </font>
      <fill>
        <patternFill patternType="solid">
          <fgColor rgb="FFD6E4F0"/>
        </patternFill>
      </fill>
    </dxf>
    <dxf>
      <font>
        <b/>
        <sz val="11"/>
        <color rgb="FF5B3A8E"/>
        <name val="Calibri"/>
      </font>
      <fill>
        <patternFill patternType="solid">
          <fgColor rgb="FFE4DFEC"/>
        </patternFill>
      </fill>
    </dxf>
    <dxf>
      <font>
        <b/>
        <sz val="11"/>
        <color rgb="FF8B0000"/>
        <name val="Calibri"/>
      </font>
      <fill>
        <patternFill patternType="solid">
          <fgColor rgb="FFF4CCCC"/>
        </patternFill>
      </fill>
    </dxf>
    <dxf>
      <font>
        <b/>
        <sz val="11"/>
        <color rgb="FFFFFFFF"/>
        <name val="Calibri"/>
      </font>
      <fill>
        <patternFill patternType="solid">
          <fgColor rgb="FFFF6D01"/>
        </patternFill>
      </fill>
    </dxf>
    <dxf>
      <font>
        <b/>
        <sz val="11"/>
        <color rgb="FF8B0000"/>
        <name val="Calibri"/>
      </font>
      <fill>
        <patternFill patternType="solid">
          <fgColor rgb="FFFF99CC"/>
        </patternFill>
      </fill>
    </dxf>
    <dxf>
      <font>
        <sz val="11"/>
        <color rgb="FF8A6D00"/>
        <name val="Calibri"/>
      </font>
      <fill>
        <patternFill patternType="solid">
          <fgColor rgb="FFFCE4D6"/>
        </patternFill>
      </fill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  <dxf>
      <font>
        <sz val="11"/>
        <color rgb="FFC00000"/>
        <name val="Calibri"/>
      </font>
      <border>
        <left style="dotted">
          <color rgb="FFC00000"/>
        </left>
        <right style="dotted">
          <color rgb="FFC00000"/>
        </right>
        <top style="dotted">
          <color rgb="FFC00000"/>
        </top>
        <bottom style="dotted">
          <color rgb="FFC00000"/>
        </bottom>
      </border>
    </dxf>
    <dxf>
      <font>
        <sz val="11"/>
        <color rgb="FFE8A33D"/>
        <name val="Calibri"/>
      </font>
      <border>
        <left style="dotted">
          <color rgb="FFE8A33D"/>
        </left>
        <right style="dotted">
          <color rgb="FFE8A33D"/>
        </right>
        <top style="dotted">
          <color rgb="FFE8A33D"/>
        </top>
        <bottom style="dotted">
          <color rgb="FFE8A33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HVMC%20MICU%20SCHEDULE%20OCT%2026%20-%20JAN%2031%202027.xlsx" TargetMode="External"/><Relationship Id="rId2" Type="http://schemas.openxmlformats.org/officeDocument/2006/relationships/externalLinkPath" Target="file:///C:\Users\spenc\Downloads\HVMC%20MICU%20SCHEDULE%20OCT%2026%20-%20JAN%2031%202027.xlsx" TargetMode="External"/><Relationship Id="rId1" Type="http://schemas.openxmlformats.org/officeDocument/2006/relationships/externalLinkPath" Target="/Users/spenc/Downloads/HVMC%20MICU%20SCHEDULE%20OCT%2026%20-%20JAN%2031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endar"/>
      <sheetName val="Summary"/>
      <sheetName val="Schedule"/>
      <sheetName val="Requests"/>
    </sheetNames>
    <sheetDataSet>
      <sheetData sheetId="0"/>
      <sheetData sheetId="1"/>
      <sheetData sheetId="2">
        <row r="3">
          <cell r="D3" t="str">
            <v>Radha</v>
          </cell>
          <cell r="E3" t="str">
            <v>John</v>
          </cell>
          <cell r="F3" t="str">
            <v/>
          </cell>
        </row>
        <row r="4">
          <cell r="D4" t="str">
            <v>Mandie</v>
          </cell>
          <cell r="E4" t="str">
            <v>Katie</v>
          </cell>
          <cell r="F4" t="str">
            <v>John</v>
          </cell>
        </row>
        <row r="5">
          <cell r="D5" t="str">
            <v>Katie</v>
          </cell>
          <cell r="E5" t="str">
            <v>Todd</v>
          </cell>
          <cell r="F5" t="str">
            <v>Mandie</v>
          </cell>
        </row>
        <row r="6">
          <cell r="D6" t="str">
            <v>Maureen</v>
          </cell>
          <cell r="E6" t="str">
            <v>Katie</v>
          </cell>
          <cell r="F6" t="str">
            <v>Hayden</v>
          </cell>
        </row>
        <row r="7">
          <cell r="D7" t="str">
            <v>Hayden</v>
          </cell>
          <cell r="E7" t="str">
            <v>Maureen</v>
          </cell>
          <cell r="F7" t="str">
            <v>Radha</v>
          </cell>
        </row>
        <row r="8">
          <cell r="D8" t="str">
            <v>Radha</v>
          </cell>
          <cell r="E8" t="str">
            <v>Maureen</v>
          </cell>
          <cell r="F8" t="str">
            <v/>
          </cell>
        </row>
        <row r="9">
          <cell r="D9" t="str">
            <v>Radha</v>
          </cell>
          <cell r="E9" t="str">
            <v/>
          </cell>
          <cell r="F9" t="str">
            <v/>
          </cell>
        </row>
        <row r="10">
          <cell r="D10" t="str">
            <v>Mandie</v>
          </cell>
          <cell r="E10" t="str">
            <v>John</v>
          </cell>
          <cell r="F10" t="str">
            <v>Caroline</v>
          </cell>
        </row>
        <row r="11">
          <cell r="D11" t="str">
            <v>Mandie</v>
          </cell>
          <cell r="E11" t="str">
            <v>Maureen</v>
          </cell>
          <cell r="F11" t="str">
            <v/>
          </cell>
        </row>
        <row r="12">
          <cell r="D12" t="str">
            <v>Radha</v>
          </cell>
          <cell r="E12" t="str">
            <v>Katie</v>
          </cell>
          <cell r="F12" t="str">
            <v>Mandie</v>
          </cell>
        </row>
        <row r="13">
          <cell r="D13" t="str">
            <v>Katie</v>
          </cell>
          <cell r="E13" t="str">
            <v>Radha</v>
          </cell>
          <cell r="F13" t="str">
            <v/>
          </cell>
        </row>
        <row r="14">
          <cell r="D14" t="str">
            <v>John</v>
          </cell>
          <cell r="E14" t="str">
            <v>Kristin</v>
          </cell>
          <cell r="F14" t="str">
            <v/>
          </cell>
        </row>
        <row r="15">
          <cell r="D15" t="str">
            <v>John</v>
          </cell>
          <cell r="E15" t="str">
            <v>Todd</v>
          </cell>
          <cell r="F15" t="str">
            <v/>
          </cell>
        </row>
        <row r="16">
          <cell r="D16" t="str">
            <v>John</v>
          </cell>
          <cell r="E16" t="str">
            <v>Todd</v>
          </cell>
          <cell r="F16" t="str">
            <v/>
          </cell>
        </row>
        <row r="18">
          <cell r="D18" t="str">
            <v>John</v>
          </cell>
          <cell r="E18" t="str">
            <v>Caroline</v>
          </cell>
          <cell r="F18" t="str">
            <v/>
          </cell>
        </row>
        <row r="19">
          <cell r="D19" t="str">
            <v>Hayden</v>
          </cell>
          <cell r="E19" t="str">
            <v>Todd</v>
          </cell>
          <cell r="F19" t="str">
            <v>Kristin</v>
          </cell>
        </row>
        <row r="20">
          <cell r="D20" t="str">
            <v>Todd</v>
          </cell>
          <cell r="E20" t="str">
            <v>Hayden</v>
          </cell>
          <cell r="F20" t="str">
            <v>Caroline</v>
          </cell>
        </row>
        <row r="21">
          <cell r="D21" t="str">
            <v>Caroline</v>
          </cell>
          <cell r="E21" t="str">
            <v>Maureen</v>
          </cell>
          <cell r="F21" t="str">
            <v/>
          </cell>
        </row>
        <row r="22">
          <cell r="D22" t="str">
            <v>Maureen</v>
          </cell>
          <cell r="E22" t="str">
            <v>John</v>
          </cell>
          <cell r="F22" t="str">
            <v>Caroline</v>
          </cell>
        </row>
        <row r="23">
          <cell r="D23" t="str">
            <v>Radha</v>
          </cell>
          <cell r="E23" t="str">
            <v>Todd</v>
          </cell>
          <cell r="F23" t="str">
            <v/>
          </cell>
        </row>
        <row r="24">
          <cell r="D24" t="str">
            <v>Todd</v>
          </cell>
          <cell r="E24" t="str">
            <v>Radha</v>
          </cell>
          <cell r="F24" t="str">
            <v/>
          </cell>
        </row>
        <row r="25">
          <cell r="D25" t="str">
            <v>John</v>
          </cell>
          <cell r="E25" t="str">
            <v>Hayden</v>
          </cell>
          <cell r="F25" t="str">
            <v>Katie</v>
          </cell>
        </row>
        <row r="26">
          <cell r="D26" t="str">
            <v>Todd</v>
          </cell>
          <cell r="E26" t="str">
            <v>John</v>
          </cell>
          <cell r="F26" t="str">
            <v>Caroline</v>
          </cell>
        </row>
        <row r="27">
          <cell r="D27" t="str">
            <v>John</v>
          </cell>
          <cell r="E27" t="str">
            <v>Kristin</v>
          </cell>
          <cell r="F27" t="str">
            <v>Caroline</v>
          </cell>
        </row>
        <row r="28">
          <cell r="D28" t="str">
            <v>Mandie</v>
          </cell>
          <cell r="E28" t="str">
            <v>Kristin</v>
          </cell>
          <cell r="F28" t="str">
            <v/>
          </cell>
        </row>
        <row r="29">
          <cell r="D29" t="str">
            <v>Katie</v>
          </cell>
          <cell r="E29" t="str">
            <v>Mandie</v>
          </cell>
          <cell r="F29" t="str">
            <v/>
          </cell>
        </row>
        <row r="30">
          <cell r="D30" t="str">
            <v>Hayden</v>
          </cell>
          <cell r="E30" t="str">
            <v>Kristin</v>
          </cell>
          <cell r="F30" t="str">
            <v>Katie</v>
          </cell>
        </row>
        <row r="31">
          <cell r="D31" t="str">
            <v>Kristin</v>
          </cell>
          <cell r="E31" t="str">
            <v>Katie</v>
          </cell>
          <cell r="F31" t="str">
            <v>Hayden</v>
          </cell>
        </row>
        <row r="33">
          <cell r="D33" t="str">
            <v>Katie</v>
          </cell>
          <cell r="E33" t="str">
            <v>Mandie</v>
          </cell>
          <cell r="F33" t="str">
            <v>Hayden</v>
          </cell>
        </row>
        <row r="34">
          <cell r="D34" t="str">
            <v>Hayden</v>
          </cell>
          <cell r="E34" t="str">
            <v>Kristin</v>
          </cell>
          <cell r="F34" t="str">
            <v>Mandie</v>
          </cell>
        </row>
        <row r="35">
          <cell r="D35" t="str">
            <v>Kristin</v>
          </cell>
          <cell r="E35" t="str">
            <v>Mandie</v>
          </cell>
          <cell r="F35" t="str">
            <v>Katie</v>
          </cell>
        </row>
        <row r="36">
          <cell r="D36" t="str">
            <v>Radha</v>
          </cell>
          <cell r="E36" t="str">
            <v>Maureen</v>
          </cell>
          <cell r="F36" t="str">
            <v/>
          </cell>
        </row>
        <row r="37">
          <cell r="D37" t="str">
            <v>Radha</v>
          </cell>
          <cell r="E37" t="str">
            <v>Maureen</v>
          </cell>
          <cell r="F37" t="str">
            <v/>
          </cell>
        </row>
        <row r="38">
          <cell r="D38" t="str">
            <v>Maureen</v>
          </cell>
          <cell r="E38" t="str">
            <v>Radha</v>
          </cell>
          <cell r="F38" t="str">
            <v/>
          </cell>
        </row>
        <row r="39">
          <cell r="D39" t="str">
            <v>Maureen</v>
          </cell>
          <cell r="E39" t="str">
            <v>Radha</v>
          </cell>
          <cell r="F39" t="str">
            <v>Katie</v>
          </cell>
        </row>
        <row r="40">
          <cell r="D40" t="str">
            <v>John</v>
          </cell>
          <cell r="E40" t="str">
            <v>Mandie</v>
          </cell>
          <cell r="F40" t="str">
            <v>Katie</v>
          </cell>
        </row>
        <row r="41">
          <cell r="D41" t="str">
            <v>Kristin</v>
          </cell>
          <cell r="E41" t="str">
            <v>John</v>
          </cell>
          <cell r="F41" t="str">
            <v>Hayden</v>
          </cell>
        </row>
        <row r="42">
          <cell r="D42" t="str">
            <v>Kristin</v>
          </cell>
          <cell r="E42" t="str">
            <v>John</v>
          </cell>
          <cell r="F42" t="str">
            <v>Radha</v>
          </cell>
        </row>
        <row r="43">
          <cell r="D43" t="str">
            <v>Hayden</v>
          </cell>
          <cell r="E43" t="str">
            <v>Radha</v>
          </cell>
          <cell r="F43" t="str">
            <v>Kristin</v>
          </cell>
        </row>
        <row r="44">
          <cell r="D44" t="str">
            <v>Kristin</v>
          </cell>
          <cell r="E44" t="str">
            <v>John</v>
          </cell>
          <cell r="F44" t="str">
            <v>Todd</v>
          </cell>
        </row>
        <row r="45">
          <cell r="D45" t="str">
            <v>Hayden</v>
          </cell>
          <cell r="E45" t="str">
            <v>Mandie</v>
          </cell>
          <cell r="F45" t="str">
            <v>Maureen</v>
          </cell>
        </row>
        <row r="46">
          <cell r="D46" t="str">
            <v>Maureen</v>
          </cell>
          <cell r="E46" t="str">
            <v>Hayden</v>
          </cell>
          <cell r="F46" t="str">
            <v>Mandie</v>
          </cell>
        </row>
        <row r="48">
          <cell r="D48" t="str">
            <v>Mandie</v>
          </cell>
          <cell r="E48" t="str">
            <v>Todd</v>
          </cell>
          <cell r="F48" t="str">
            <v>Hayden</v>
          </cell>
        </row>
        <row r="49">
          <cell r="D49" t="str">
            <v>John</v>
          </cell>
          <cell r="E49" t="str">
            <v>Todd</v>
          </cell>
          <cell r="F49" t="str">
            <v>Hayden</v>
          </cell>
        </row>
        <row r="50">
          <cell r="D50" t="str">
            <v>John</v>
          </cell>
          <cell r="E50" t="str">
            <v>Maureen</v>
          </cell>
          <cell r="F50" t="str">
            <v>Hayden</v>
          </cell>
        </row>
        <row r="51">
          <cell r="D51" t="str">
            <v>Maureen</v>
          </cell>
          <cell r="E51" t="str">
            <v>Radha</v>
          </cell>
          <cell r="F51" t="str">
            <v/>
          </cell>
        </row>
        <row r="52">
          <cell r="D52" t="str">
            <v>Todd</v>
          </cell>
          <cell r="E52" t="str">
            <v>Maureen</v>
          </cell>
          <cell r="F52" t="str">
            <v>Caroline</v>
          </cell>
        </row>
        <row r="53">
          <cell r="D53" t="str">
            <v>Todd</v>
          </cell>
          <cell r="E53" t="str">
            <v>Caroline</v>
          </cell>
          <cell r="F53" t="str">
            <v/>
          </cell>
        </row>
        <row r="54">
          <cell r="D54" t="str">
            <v>Caroline</v>
          </cell>
          <cell r="E54" t="str">
            <v>Todd</v>
          </cell>
          <cell r="F54" t="str">
            <v/>
          </cell>
        </row>
        <row r="55">
          <cell r="D55" t="str">
            <v>Radha</v>
          </cell>
          <cell r="E55" t="str">
            <v>John</v>
          </cell>
          <cell r="F55" t="str">
            <v>Kristin</v>
          </cell>
        </row>
        <row r="56">
          <cell r="D56" t="str">
            <v>Todd</v>
          </cell>
          <cell r="E56" t="str">
            <v>Radha</v>
          </cell>
          <cell r="F56" t="str">
            <v>Katie</v>
          </cell>
        </row>
        <row r="57">
          <cell r="D57" t="str">
            <v>Radha</v>
          </cell>
          <cell r="E57" t="str">
            <v>Maureen</v>
          </cell>
          <cell r="F57" t="str">
            <v>Katie</v>
          </cell>
        </row>
        <row r="58">
          <cell r="D58" t="str">
            <v>Mandie</v>
          </cell>
          <cell r="E58" t="str">
            <v>Maureen</v>
          </cell>
          <cell r="F58" t="str">
            <v>Katie</v>
          </cell>
        </row>
        <row r="59">
          <cell r="D59" t="str">
            <v>Mandie</v>
          </cell>
          <cell r="E59" t="str">
            <v>Caroline</v>
          </cell>
          <cell r="F59" t="str">
            <v>Katie</v>
          </cell>
        </row>
        <row r="60">
          <cell r="D60" t="str">
            <v>Kristin</v>
          </cell>
          <cell r="E60" t="str">
            <v>Radha</v>
          </cell>
          <cell r="F60" t="str">
            <v>Caroline</v>
          </cell>
        </row>
        <row r="61">
          <cell r="D61" t="str">
            <v>Radha</v>
          </cell>
          <cell r="E61" t="str">
            <v>Caroline</v>
          </cell>
          <cell r="F61" t="str">
            <v>Kristin</v>
          </cell>
        </row>
        <row r="63">
          <cell r="D63" t="str">
            <v>Caroline</v>
          </cell>
          <cell r="E63" t="str">
            <v>Kristin</v>
          </cell>
          <cell r="F63" t="str">
            <v>John</v>
          </cell>
        </row>
        <row r="64">
          <cell r="D64" t="str">
            <v>Radha</v>
          </cell>
          <cell r="E64" t="str">
            <v>Katie</v>
          </cell>
          <cell r="F64" t="str">
            <v>Jamie</v>
          </cell>
        </row>
        <row r="65">
          <cell r="D65" t="str">
            <v>Radha</v>
          </cell>
          <cell r="E65" t="str">
            <v>Jamie</v>
          </cell>
          <cell r="F65" t="str">
            <v>John</v>
          </cell>
        </row>
        <row r="66">
          <cell r="D66" t="str">
            <v>John</v>
          </cell>
          <cell r="E66" t="str">
            <v>Kristin</v>
          </cell>
          <cell r="F66" t="str">
            <v/>
          </cell>
        </row>
        <row r="67">
          <cell r="D67" t="str">
            <v>Kristin</v>
          </cell>
          <cell r="E67" t="str">
            <v>John</v>
          </cell>
          <cell r="F67" t="str">
            <v/>
          </cell>
        </row>
        <row r="68">
          <cell r="D68" t="str">
            <v>John</v>
          </cell>
          <cell r="E68" t="str">
            <v>Katie</v>
          </cell>
          <cell r="F68" t="str">
            <v/>
          </cell>
        </row>
        <row r="69">
          <cell r="D69" t="str">
            <v>John</v>
          </cell>
          <cell r="E69" t="str">
            <v>Katie</v>
          </cell>
          <cell r="F69" t="str">
            <v>Hayden</v>
          </cell>
        </row>
        <row r="70">
          <cell r="D70" t="str">
            <v>Jamie</v>
          </cell>
          <cell r="E70" t="str">
            <v>Kristin</v>
          </cell>
          <cell r="F70" t="str">
            <v>Hayden</v>
          </cell>
        </row>
        <row r="71">
          <cell r="D71" t="str">
            <v>Kristin</v>
          </cell>
          <cell r="E71" t="str">
            <v>Maureen</v>
          </cell>
          <cell r="F71" t="str">
            <v>Hayden</v>
          </cell>
        </row>
        <row r="72">
          <cell r="D72" t="str">
            <v>Kristin</v>
          </cell>
          <cell r="E72" t="str">
            <v>Maureen</v>
          </cell>
          <cell r="F72" t="str">
            <v>Todd</v>
          </cell>
        </row>
        <row r="73">
          <cell r="D73" t="str">
            <v>Hayden</v>
          </cell>
          <cell r="E73" t="str">
            <v>Mandie</v>
          </cell>
          <cell r="F73" t="str">
            <v/>
          </cell>
        </row>
        <row r="74">
          <cell r="D74" t="str">
            <v>Hayden</v>
          </cell>
          <cell r="E74" t="str">
            <v>Mandie</v>
          </cell>
          <cell r="F74" t="str">
            <v/>
          </cell>
        </row>
        <row r="75">
          <cell r="D75" t="str">
            <v>Caroline</v>
          </cell>
          <cell r="E75" t="str">
            <v>Mandie</v>
          </cell>
          <cell r="F75" t="str">
            <v>Todd</v>
          </cell>
        </row>
        <row r="76">
          <cell r="D76" t="str">
            <v>Todd</v>
          </cell>
          <cell r="E76" t="str">
            <v>Mandie</v>
          </cell>
          <cell r="F76" t="str">
            <v>Caroline</v>
          </cell>
        </row>
        <row r="78">
          <cell r="D78" t="str">
            <v>Todd</v>
          </cell>
          <cell r="E78" t="str">
            <v>Katie</v>
          </cell>
          <cell r="F78" t="str">
            <v>Hayden</v>
          </cell>
        </row>
        <row r="79">
          <cell r="D79" t="str">
            <v>Hayden</v>
          </cell>
          <cell r="E79" t="str">
            <v>Katie</v>
          </cell>
          <cell r="F79" t="str">
            <v>Caroline</v>
          </cell>
        </row>
        <row r="80">
          <cell r="D80" t="str">
            <v>Todd</v>
          </cell>
          <cell r="E80" t="str">
            <v>Caroline</v>
          </cell>
          <cell r="F80" t="str">
            <v>Radha</v>
          </cell>
        </row>
        <row r="81">
          <cell r="D81" t="str">
            <v>Jamie</v>
          </cell>
          <cell r="E81" t="str">
            <v>Radha</v>
          </cell>
          <cell r="F81" t="str">
            <v>Caroline</v>
          </cell>
        </row>
        <row r="82">
          <cell r="D82" t="str">
            <v>Todd</v>
          </cell>
          <cell r="E82" t="str">
            <v>Maureen</v>
          </cell>
          <cell r="F82" t="str">
            <v>Katie</v>
          </cell>
        </row>
        <row r="83">
          <cell r="D83" t="str">
            <v>Jamie</v>
          </cell>
          <cell r="E83" t="str">
            <v>John</v>
          </cell>
          <cell r="F83" t="str">
            <v>Maureen</v>
          </cell>
        </row>
        <row r="84">
          <cell r="D84" t="str">
            <v>John</v>
          </cell>
          <cell r="E84" t="str">
            <v>Jamie</v>
          </cell>
          <cell r="F84" t="str">
            <v>Maureen</v>
          </cell>
        </row>
        <row r="85">
          <cell r="D85" t="str">
            <v>Jamie</v>
          </cell>
          <cell r="E85" t="str">
            <v>Caroline</v>
          </cell>
          <cell r="F85" t="str">
            <v>Radha</v>
          </cell>
        </row>
        <row r="86">
          <cell r="D86" t="str">
            <v>Jamie</v>
          </cell>
          <cell r="E86" t="str">
            <v>Radha</v>
          </cell>
          <cell r="F86" t="str">
            <v>Caroline</v>
          </cell>
        </row>
        <row r="87">
          <cell r="D87" t="str">
            <v>Katie</v>
          </cell>
          <cell r="E87" t="str">
            <v>Caroline</v>
          </cell>
          <cell r="F87" t="str">
            <v>Radha</v>
          </cell>
        </row>
        <row r="88">
          <cell r="D88" t="str">
            <v>Mandie</v>
          </cell>
          <cell r="E88" t="str">
            <v>Todd</v>
          </cell>
          <cell r="F88" t="str">
            <v>Radha</v>
          </cell>
        </row>
        <row r="89">
          <cell r="D89" t="str">
            <v>Kristin</v>
          </cell>
          <cell r="E89" t="str">
            <v>Katie</v>
          </cell>
          <cell r="F89" t="str">
            <v>Todd</v>
          </cell>
        </row>
        <row r="90">
          <cell r="D90" t="str">
            <v>Hayden</v>
          </cell>
          <cell r="E90" t="str">
            <v>Mandie</v>
          </cell>
          <cell r="F90" t="str">
            <v>Kristin</v>
          </cell>
        </row>
        <row r="91">
          <cell r="D91" t="str">
            <v>Katie</v>
          </cell>
          <cell r="E91" t="str">
            <v>Kristin</v>
          </cell>
          <cell r="F91" t="str">
            <v>Hayden</v>
          </cell>
        </row>
        <row r="93">
          <cell r="D93" t="str">
            <v>Hayden</v>
          </cell>
          <cell r="E93" t="str">
            <v>Jamie</v>
          </cell>
          <cell r="F93" t="str">
            <v>Caroline</v>
          </cell>
        </row>
        <row r="94">
          <cell r="D94" t="str">
            <v>Mandie</v>
          </cell>
          <cell r="E94" t="str">
            <v>Maureen</v>
          </cell>
          <cell r="F94" t="str">
            <v>Kristin</v>
          </cell>
        </row>
        <row r="95">
          <cell r="D95" t="str">
            <v>Maureen</v>
          </cell>
          <cell r="E95" t="str">
            <v>Kristin</v>
          </cell>
          <cell r="F95" t="str">
            <v>Mandie</v>
          </cell>
        </row>
        <row r="96">
          <cell r="D96" t="str">
            <v>Maureen</v>
          </cell>
          <cell r="E96" t="str">
            <v>John</v>
          </cell>
          <cell r="F96" t="str">
            <v>Hayden</v>
          </cell>
        </row>
        <row r="97">
          <cell r="D97" t="str">
            <v>Mandie</v>
          </cell>
          <cell r="E97" t="str">
            <v>Hayden</v>
          </cell>
          <cell r="F97" t="str">
            <v>John</v>
          </cell>
        </row>
        <row r="98">
          <cell r="D98" t="str">
            <v>Jamie</v>
          </cell>
          <cell r="E98" t="str">
            <v>Todd</v>
          </cell>
          <cell r="F98" t="str">
            <v>Kristin</v>
          </cell>
        </row>
        <row r="99">
          <cell r="D99" t="str">
            <v>Todd</v>
          </cell>
          <cell r="E99" t="str">
            <v>Kristin</v>
          </cell>
          <cell r="F99" t="str">
            <v>Jamie</v>
          </cell>
        </row>
        <row r="100">
          <cell r="D100" t="str">
            <v>Kristin</v>
          </cell>
          <cell r="E100" t="str">
            <v>John</v>
          </cell>
          <cell r="F100" t="str">
            <v>Todd</v>
          </cell>
        </row>
        <row r="101">
          <cell r="D101" t="str">
            <v>Katie</v>
          </cell>
          <cell r="E101" t="str">
            <v>Kristin</v>
          </cell>
          <cell r="F101" t="str">
            <v>Mandie</v>
          </cell>
        </row>
        <row r="102">
          <cell r="D102" t="str">
            <v>Mandie</v>
          </cell>
          <cell r="E102" t="str">
            <v>John</v>
          </cell>
          <cell r="F102" t="str">
            <v>Katie</v>
          </cell>
        </row>
        <row r="103">
          <cell r="D103" t="str">
            <v>Mandie</v>
          </cell>
          <cell r="E103" t="str">
            <v>Katie</v>
          </cell>
          <cell r="F103" t="str">
            <v>John</v>
          </cell>
        </row>
        <row r="104">
          <cell r="D104" t="str">
            <v>Maureen</v>
          </cell>
          <cell r="E104" t="str">
            <v>Hayden</v>
          </cell>
          <cell r="F104" t="str">
            <v>Todd</v>
          </cell>
        </row>
        <row r="105">
          <cell r="D105" t="str">
            <v>Hayden</v>
          </cell>
          <cell r="E105" t="str">
            <v>Caroline</v>
          </cell>
          <cell r="F105" t="str">
            <v>Maureen</v>
          </cell>
        </row>
        <row r="106">
          <cell r="D106" t="str">
            <v>Maureen</v>
          </cell>
          <cell r="E106" t="str">
            <v>Hayden</v>
          </cell>
          <cell r="F106" t="str">
            <v>Caroline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1"/>
  <sheetViews>
    <sheetView workbookViewId="0"/>
  </sheetViews>
  <sheetFormatPr defaultColWidth="10.90625" defaultRowHeight="14.5" x14ac:dyDescent="0.35"/>
  <cols>
    <col min="1" max="1" width="2.7265625" customWidth="1"/>
    <col min="2" max="8" width="13.7265625" customWidth="1"/>
    <col min="9" max="9" width="2.7265625" customWidth="1"/>
  </cols>
  <sheetData>
    <row r="1" spans="2:8" ht="27.75" customHeight="1" x14ac:dyDescent="0.35">
      <c r="B1" s="45" t="s">
        <v>0</v>
      </c>
      <c r="C1" s="45"/>
      <c r="D1" s="45"/>
      <c r="E1" s="45"/>
      <c r="F1" s="45"/>
      <c r="G1" s="45"/>
      <c r="H1" s="45"/>
    </row>
    <row r="2" spans="2:8" ht="25.5" customHeight="1" x14ac:dyDescent="0.35">
      <c r="B2" s="1" t="s">
        <v>1</v>
      </c>
      <c r="C2" s="46" t="s">
        <v>2</v>
      </c>
      <c r="D2" s="46"/>
      <c r="E2" s="46"/>
      <c r="F2" s="2"/>
      <c r="G2" s="2"/>
      <c r="H2" s="2"/>
    </row>
    <row r="3" spans="2:8" ht="6" customHeight="1" x14ac:dyDescent="0.35"/>
    <row r="4" spans="2:8" ht="19.5" customHeight="1" x14ac:dyDescent="0.35">
      <c r="B4" s="47" t="s">
        <v>3</v>
      </c>
      <c r="C4" s="47"/>
      <c r="D4" s="47"/>
      <c r="E4" s="47"/>
      <c r="F4" s="47"/>
      <c r="G4" s="47"/>
      <c r="H4" s="47"/>
    </row>
    <row r="5" spans="2:8" x14ac:dyDescent="0.35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2:8" x14ac:dyDescent="0.35">
      <c r="B6" s="4" t="s">
        <v>11</v>
      </c>
      <c r="C6" s="5" t="s">
        <v>12</v>
      </c>
      <c r="D6" s="6">
        <f>MAX(0,IFERROR(INDEX({6,6,6,6,6,6,6,6,6,6,0,0,0,0,0,0},1,MATCH($C$2,Schedule!$K$2:$Z$2,0)),0)-IFERROR(INDEX({0,0,0,2,0,2,2,0,0,0,0,0,0,0,0,0},1,MATCH($C$2,Schedule!$K$2:$Z$2,0)),0)-IFERROR(MAX(COUNTIF(INDEX(Schedule!$K$1:$Z$200,4,MATCH($C$2,Schedule!$K$2:$Z$2,0)):INDEX(Schedule!$K$1:$Z$200,17,MATCH($C$2,Schedule!$K$2:$Z$2,0)),"PTO"),INDEX({0,1,0,0,1,0,0,0,6,0,0,0,0,0,0,0},1,MATCH($C$2,Schedule!$K$2:$Z$2,0))),0))</f>
        <v>6</v>
      </c>
      <c r="E6" s="6">
        <f>IFERROR(COUNTIF(INDEX(Schedule!$K$1:$Z$200,4,MATCH($C$2,Schedule!$K$2:$Z$2,0)):INDEX(Schedule!$K$1:$Z$200,17,MATCH($C$2,Schedule!$K$2:$Z$2,0)),"Day")+COUNTIF(INDEX(Schedule!$K$1:$Z$200,4,MATCH($C$2,Schedule!$K$2:$Z$2,0)):INDEX(Schedule!$K$1:$Z$200,17,MATCH($C$2,Schedule!$K$2:$Z$2,0)),"Night")+COUNTIF(INDEX(Schedule!$K$1:$Z$200,4,MATCH($C$2,Schedule!$K$2:$Z$2,0)):INDEX(Schedule!$K$1:$Z$200,17,MATCH($C$2,Schedule!$K$2:$Z$2,0)),"FC3")+COUNTIF(INDEX(Schedule!$K$1:$Z$200,4,MATCH($C$2,Schedule!$K$2:$Z$2,0)):INDEX(Schedule!$K$1:$Z$200,17,MATCH($C$2,Schedule!$K$2:$Z$2,0)),"FC3 Night"),0)</f>
        <v>6</v>
      </c>
      <c r="F6" s="7">
        <f>MAX(0,MAX(0,IFERROR(INDEX({6,6,6,6,6,6,6,6,6,6,0,0,0,0,0,0},1,MATCH($C$2,Schedule!$K$2:$Z$2,0)),0)-IFERROR(INDEX({0,0,0,2,0,2,2,0,0,0,0,0,0,0,0,0},1,MATCH($C$2,Schedule!$K$2:$Z$2,0)),0)-IFERROR(MAX(COUNTIF(INDEX(Schedule!$K$1:$Z$200,4,MATCH($C$2,Schedule!$K$2:$Z$2,0)):INDEX(Schedule!$K$1:$Z$200,17,MATCH($C$2,Schedule!$K$2:$Z$2,0)),"PTO"),INDEX({0,1,0,0,1,0,0,0,6,0,0,0,0,0,0,0},1,MATCH($C$2,Schedule!$K$2:$Z$2,0))),0))-IFERROR(COUNTIF(INDEX(Schedule!$K$1:$Z$200,4,MATCH($C$2,Schedule!$K$2:$Z$2,0)):INDEX(Schedule!$K$1:$Z$200,17,MATCH($C$2,Schedule!$K$2:$Z$2,0)),"Day")+COUNTIF(INDEX(Schedule!$K$1:$Z$200,4,MATCH($C$2,Schedule!$K$2:$Z$2,0)):INDEX(Schedule!$K$1:$Z$200,17,MATCH($C$2,Schedule!$K$2:$Z$2,0)),"Night")+COUNTIF(INDEX(Schedule!$K$1:$Z$200,4,MATCH($C$2,Schedule!$K$2:$Z$2,0)):INDEX(Schedule!$K$1:$Z$200,17,MATCH($C$2,Schedule!$K$2:$Z$2,0)),"FC3")+COUNTIF(INDEX(Schedule!$K$1:$Z$200,4,MATCH($C$2,Schedule!$K$2:$Z$2,0)):INDEX(Schedule!$K$1:$Z$200,17,MATCH($C$2,Schedule!$K$2:$Z$2,0)),"FC3 Night"),0))</f>
        <v>0</v>
      </c>
      <c r="G6" s="8">
        <f>IFERROR(INDEX({0,0,0,2,0,2,2,0,0,0,0,0,0,0,0,0},1,MATCH($C$2,Schedule!$K$2:$Z$2,0)),0)</f>
        <v>0</v>
      </c>
      <c r="H6" s="9">
        <f>IFERROR(MAX(COUNTIF(INDEX(Schedule!$K$1:$Z$200,4,MATCH($C$2,Schedule!$K$2:$Z$2,0)):INDEX(Schedule!$K$1:$Z$200,17,MATCH($C$2,Schedule!$K$2:$Z$2,0)),"PTO"),INDEX({0,1,0,0,1,0,0,0,6,0,0,0,0,0,0,0},1,MATCH($C$2,Schedule!$K$2:$Z$2,0))),0)</f>
        <v>0</v>
      </c>
    </row>
    <row r="7" spans="2:8" x14ac:dyDescent="0.35">
      <c r="B7" s="4" t="s">
        <v>13</v>
      </c>
      <c r="C7" s="5" t="s">
        <v>14</v>
      </c>
      <c r="D7" s="6">
        <f>MAX(0,IFERROR(INDEX({6,6,6,6,6,6,6,6,6,6,0,0,0,0,0,0},1,MATCH($C$2,Schedule!$K$2:$Z$2,0)),0)-IFERROR(INDEX({0,1,0,1,1,0,1,0,0,1,0,0,0,0,0,0},1,MATCH($C$2,Schedule!$K$2:$Z$2,0)),0)-IFERROR(MAX(COUNTIF(INDEX(Schedule!$K$1:$Z$200,19,MATCH($C$2,Schedule!$K$2:$Z$2,0)):INDEX(Schedule!$K$1:$Z$200,32,MATCH($C$2,Schedule!$K$2:$Z$2,0)),"PTO"),INDEX({0,0,0,0,0,1,0,1,6,0,0,0,0,0,0,0},1,MATCH($C$2,Schedule!$K$2:$Z$2,0))),0))</f>
        <v>6</v>
      </c>
      <c r="E7" s="6">
        <f>IFERROR(COUNTIF(INDEX(Schedule!$K$1:$Z$200,19,MATCH($C$2,Schedule!$K$2:$Z$2,0)):INDEX(Schedule!$K$1:$Z$200,32,MATCH($C$2,Schedule!$K$2:$Z$2,0)),"Day")+COUNTIF(INDEX(Schedule!$K$1:$Z$200,19,MATCH($C$2,Schedule!$K$2:$Z$2,0)):INDEX(Schedule!$K$1:$Z$200,32,MATCH($C$2,Schedule!$K$2:$Z$2,0)),"Night")+COUNTIF(INDEX(Schedule!$K$1:$Z$200,19,MATCH($C$2,Schedule!$K$2:$Z$2,0)):INDEX(Schedule!$K$1:$Z$200,32,MATCH($C$2,Schedule!$K$2:$Z$2,0)),"FC3")+COUNTIF(INDEX(Schedule!$K$1:$Z$200,19,MATCH($C$2,Schedule!$K$2:$Z$2,0)):INDEX(Schedule!$K$1:$Z$200,32,MATCH($C$2,Schedule!$K$2:$Z$2,0)),"FC3 Night"),0)</f>
        <v>6</v>
      </c>
      <c r="F7" s="7">
        <f>MAX(0,MAX(0,IFERROR(INDEX({6,6,6,6,6,6,6,6,6,6,0,0,0,0,0,0},1,MATCH($C$2,Schedule!$K$2:$Z$2,0)),0)-IFERROR(INDEX({0,1,0,1,1,0,1,0,0,1,0,0,0,0,0,0},1,MATCH($C$2,Schedule!$K$2:$Z$2,0)),0)-IFERROR(MAX(COUNTIF(INDEX(Schedule!$K$1:$Z$200,19,MATCH($C$2,Schedule!$K$2:$Z$2,0)):INDEX(Schedule!$K$1:$Z$200,32,MATCH($C$2,Schedule!$K$2:$Z$2,0)),"PTO"),INDEX({0,0,0,0,0,1,0,1,6,0,0,0,0,0,0,0},1,MATCH($C$2,Schedule!$K$2:$Z$2,0))),0))-IFERROR(COUNTIF(INDEX(Schedule!$K$1:$Z$200,19,MATCH($C$2,Schedule!$K$2:$Z$2,0)):INDEX(Schedule!$K$1:$Z$200,32,MATCH($C$2,Schedule!$K$2:$Z$2,0)),"Day")+COUNTIF(INDEX(Schedule!$K$1:$Z$200,19,MATCH($C$2,Schedule!$K$2:$Z$2,0)):INDEX(Schedule!$K$1:$Z$200,32,MATCH($C$2,Schedule!$K$2:$Z$2,0)),"Night")+COUNTIF(INDEX(Schedule!$K$1:$Z$200,19,MATCH($C$2,Schedule!$K$2:$Z$2,0)):INDEX(Schedule!$K$1:$Z$200,32,MATCH($C$2,Schedule!$K$2:$Z$2,0)),"FC3")+COUNTIF(INDEX(Schedule!$K$1:$Z$200,19,MATCH($C$2,Schedule!$K$2:$Z$2,0)):INDEX(Schedule!$K$1:$Z$200,32,MATCH($C$2,Schedule!$K$2:$Z$2,0)),"FC3 Night"),0))</f>
        <v>0</v>
      </c>
      <c r="G7" s="8">
        <f>IFERROR(INDEX({0,1,0,1,1,0,1,0,0,1,0,0,0,0,0,0},1,MATCH($C$2,Schedule!$K$2:$Z$2,0)),0)</f>
        <v>0</v>
      </c>
      <c r="H7" s="9">
        <f>IFERROR(MAX(COUNTIF(INDEX(Schedule!$K$1:$Z$200,19,MATCH($C$2,Schedule!$K$2:$Z$2,0)):INDEX(Schedule!$K$1:$Z$200,32,MATCH($C$2,Schedule!$K$2:$Z$2,0)),"PTO"),INDEX({0,0,0,0,0,1,0,1,6,0,0,0,0,0,0,0},1,MATCH($C$2,Schedule!$K$2:$Z$2,0))),0)</f>
        <v>0</v>
      </c>
    </row>
    <row r="8" spans="2:8" x14ac:dyDescent="0.35">
      <c r="B8" s="4" t="s">
        <v>15</v>
      </c>
      <c r="C8" s="5" t="s">
        <v>16</v>
      </c>
      <c r="D8" s="6">
        <f>MAX(0,IFERROR(INDEX({6,6,6,6,6,6,6,6,6,6,0,0,0,0,0,0},1,MATCH($C$2,Schedule!$K$2:$Z$2,0)),0)-IFERROR(INDEX({0,0,0,0,0,0,0,0,0,0,0,0,0,0,0,0},1,MATCH($C$2,Schedule!$K$2:$Z$2,0)),0)-IFERROR(MAX(COUNTIF(INDEX(Schedule!$K$1:$Z$200,34,MATCH($C$2,Schedule!$K$2:$Z$2,0)):INDEX(Schedule!$K$1:$Z$200,47,MATCH($C$2,Schedule!$K$2:$Z$2,0)),"PTO"),INDEX({0,0,0,0,0,2,0,0,6,1,0,0,0,0,0,0},1,MATCH($C$2,Schedule!$K$2:$Z$2,0))),0))</f>
        <v>6</v>
      </c>
      <c r="E8" s="6">
        <f>IFERROR(COUNTIF(INDEX(Schedule!$K$1:$Z$200,34,MATCH($C$2,Schedule!$K$2:$Z$2,0)):INDEX(Schedule!$K$1:$Z$200,47,MATCH($C$2,Schedule!$K$2:$Z$2,0)),"Day")+COUNTIF(INDEX(Schedule!$K$1:$Z$200,34,MATCH($C$2,Schedule!$K$2:$Z$2,0)):INDEX(Schedule!$K$1:$Z$200,47,MATCH($C$2,Schedule!$K$2:$Z$2,0)),"Night")+COUNTIF(INDEX(Schedule!$K$1:$Z$200,34,MATCH($C$2,Schedule!$K$2:$Z$2,0)):INDEX(Schedule!$K$1:$Z$200,47,MATCH($C$2,Schedule!$K$2:$Z$2,0)),"FC3")+COUNTIF(INDEX(Schedule!$K$1:$Z$200,34,MATCH($C$2,Schedule!$K$2:$Z$2,0)):INDEX(Schedule!$K$1:$Z$200,47,MATCH($C$2,Schedule!$K$2:$Z$2,0)),"FC3 Night"),0)</f>
        <v>6</v>
      </c>
      <c r="F8" s="7">
        <f>MAX(0,MAX(0,IFERROR(INDEX({6,6,6,6,6,6,6,6,6,6,0,0,0,0,0,0},1,MATCH($C$2,Schedule!$K$2:$Z$2,0)),0)-IFERROR(INDEX({0,0,0,0,0,0,0,0,0,0,0,0,0,0,0,0},1,MATCH($C$2,Schedule!$K$2:$Z$2,0)),0)-IFERROR(MAX(COUNTIF(INDEX(Schedule!$K$1:$Z$200,34,MATCH($C$2,Schedule!$K$2:$Z$2,0)):INDEX(Schedule!$K$1:$Z$200,47,MATCH($C$2,Schedule!$K$2:$Z$2,0)),"PTO"),INDEX({0,0,0,0,0,2,0,0,6,1,0,0,0,0,0,0},1,MATCH($C$2,Schedule!$K$2:$Z$2,0))),0))-IFERROR(COUNTIF(INDEX(Schedule!$K$1:$Z$200,34,MATCH($C$2,Schedule!$K$2:$Z$2,0)):INDEX(Schedule!$K$1:$Z$200,47,MATCH($C$2,Schedule!$K$2:$Z$2,0)),"Day")+COUNTIF(INDEX(Schedule!$K$1:$Z$200,34,MATCH($C$2,Schedule!$K$2:$Z$2,0)):INDEX(Schedule!$K$1:$Z$200,47,MATCH($C$2,Schedule!$K$2:$Z$2,0)),"Night")+COUNTIF(INDEX(Schedule!$K$1:$Z$200,34,MATCH($C$2,Schedule!$K$2:$Z$2,0)):INDEX(Schedule!$K$1:$Z$200,47,MATCH($C$2,Schedule!$K$2:$Z$2,0)),"FC3")+COUNTIF(INDEX(Schedule!$K$1:$Z$200,34,MATCH($C$2,Schedule!$K$2:$Z$2,0)):INDEX(Schedule!$K$1:$Z$200,47,MATCH($C$2,Schedule!$K$2:$Z$2,0)),"FC3 Night"),0))</f>
        <v>0</v>
      </c>
      <c r="G8" s="8">
        <f>IFERROR(INDEX({0,0,0,0,0,0,0,0,0,0,0,0,0,0,0,0},1,MATCH($C$2,Schedule!$K$2:$Z$2,0)),0)</f>
        <v>0</v>
      </c>
      <c r="H8" s="9">
        <f>IFERROR(MAX(COUNTIF(INDEX(Schedule!$K$1:$Z$200,34,MATCH($C$2,Schedule!$K$2:$Z$2,0)):INDEX(Schedule!$K$1:$Z$200,47,MATCH($C$2,Schedule!$K$2:$Z$2,0)),"PTO"),INDEX({0,0,0,0,0,2,0,0,6,1,0,0,0,0,0,0},1,MATCH($C$2,Schedule!$K$2:$Z$2,0))),0)</f>
        <v>0</v>
      </c>
    </row>
    <row r="9" spans="2:8" x14ac:dyDescent="0.35">
      <c r="B9" s="4" t="s">
        <v>17</v>
      </c>
      <c r="C9" s="5" t="s">
        <v>18</v>
      </c>
      <c r="D9" s="6">
        <f>MAX(0,IFERROR(INDEX({6,6,6,6,6,6,6,6,6,6,0,0,0,0,0,0},1,MATCH($C$2,Schedule!$K$2:$Z$2,0)),0)-IFERROR(INDEX({0,0,0,0,0,0,0,0,0,0,0,0,0,0,0,0},1,MATCH($C$2,Schedule!$K$2:$Z$2,0)),0)-IFERROR(MAX(COUNTIF(INDEX(Schedule!$K$1:$Z$200,49,MATCH($C$2,Schedule!$K$2:$Z$2,0)):INDEX(Schedule!$K$1:$Z$200,62,MATCH($C$2,Schedule!$K$2:$Z$2,0)),"PTO"),INDEX({1,0,0,0,0,0,0,0,6,0,0,0,0,0,0,0},1,MATCH($C$2,Schedule!$K$2:$Z$2,0))),0))</f>
        <v>5</v>
      </c>
      <c r="E9" s="6">
        <f>IFERROR(COUNTIF(INDEX(Schedule!$K$1:$Z$200,49,MATCH($C$2,Schedule!$K$2:$Z$2,0)):INDEX(Schedule!$K$1:$Z$200,62,MATCH($C$2,Schedule!$K$2:$Z$2,0)),"Day")+COUNTIF(INDEX(Schedule!$K$1:$Z$200,49,MATCH($C$2,Schedule!$K$2:$Z$2,0)):INDEX(Schedule!$K$1:$Z$200,62,MATCH($C$2,Schedule!$K$2:$Z$2,0)),"Night")+COUNTIF(INDEX(Schedule!$K$1:$Z$200,49,MATCH($C$2,Schedule!$K$2:$Z$2,0)):INDEX(Schedule!$K$1:$Z$200,62,MATCH($C$2,Schedule!$K$2:$Z$2,0)),"FC3")+COUNTIF(INDEX(Schedule!$K$1:$Z$200,49,MATCH($C$2,Schedule!$K$2:$Z$2,0)):INDEX(Schedule!$K$1:$Z$200,62,MATCH($C$2,Schedule!$K$2:$Z$2,0)),"FC3 Night"),0)</f>
        <v>5</v>
      </c>
      <c r="F9" s="7">
        <f>MAX(0,MAX(0,IFERROR(INDEX({6,6,6,6,6,6,6,6,6,6,0,0,0,0,0,0},1,MATCH($C$2,Schedule!$K$2:$Z$2,0)),0)-IFERROR(INDEX({0,0,0,0,0,0,0,0,0,0,0,0,0,0,0,0},1,MATCH($C$2,Schedule!$K$2:$Z$2,0)),0)-IFERROR(MAX(COUNTIF(INDEX(Schedule!$K$1:$Z$200,49,MATCH($C$2,Schedule!$K$2:$Z$2,0)):INDEX(Schedule!$K$1:$Z$200,62,MATCH($C$2,Schedule!$K$2:$Z$2,0)),"PTO"),INDEX({1,0,0,0,0,0,0,0,6,0,0,0,0,0,0,0},1,MATCH($C$2,Schedule!$K$2:$Z$2,0))),0))-IFERROR(COUNTIF(INDEX(Schedule!$K$1:$Z$200,49,MATCH($C$2,Schedule!$K$2:$Z$2,0)):INDEX(Schedule!$K$1:$Z$200,62,MATCH($C$2,Schedule!$K$2:$Z$2,0)),"Day")+COUNTIF(INDEX(Schedule!$K$1:$Z$200,49,MATCH($C$2,Schedule!$K$2:$Z$2,0)):INDEX(Schedule!$K$1:$Z$200,62,MATCH($C$2,Schedule!$K$2:$Z$2,0)),"Night")+COUNTIF(INDEX(Schedule!$K$1:$Z$200,49,MATCH($C$2,Schedule!$K$2:$Z$2,0)):INDEX(Schedule!$K$1:$Z$200,62,MATCH($C$2,Schedule!$K$2:$Z$2,0)),"FC3")+COUNTIF(INDEX(Schedule!$K$1:$Z$200,49,MATCH($C$2,Schedule!$K$2:$Z$2,0)):INDEX(Schedule!$K$1:$Z$200,62,MATCH($C$2,Schedule!$K$2:$Z$2,0)),"FC3 Night"),0))</f>
        <v>0</v>
      </c>
      <c r="G9" s="8">
        <f>IFERROR(INDEX({0,0,0,0,0,0,0,0,0,0,0,0,0,0,0,0},1,MATCH($C$2,Schedule!$K$2:$Z$2,0)),0)</f>
        <v>0</v>
      </c>
      <c r="H9" s="9">
        <f>IFERROR(MAX(COUNTIF(INDEX(Schedule!$K$1:$Z$200,49,MATCH($C$2,Schedule!$K$2:$Z$2,0)):INDEX(Schedule!$K$1:$Z$200,62,MATCH($C$2,Schedule!$K$2:$Z$2,0)),"PTO"),INDEX({1,0,0,0,0,0,0,0,6,0,0,0,0,0,0,0},1,MATCH($C$2,Schedule!$K$2:$Z$2,0))),0)</f>
        <v>1</v>
      </c>
    </row>
    <row r="10" spans="2:8" x14ac:dyDescent="0.35">
      <c r="B10" s="4" t="s">
        <v>19</v>
      </c>
      <c r="C10" s="5" t="s">
        <v>20</v>
      </c>
      <c r="D10" s="6">
        <f>MAX(0,IFERROR(INDEX({6,6,6,6,6,6,6,6,6,6,0,0,0,0,0,0},1,MATCH($C$2,Schedule!$K$2:$Z$2,0)),0)-IFERROR(INDEX({0,0,0,0,0,0,0,0,0,0,0,0,0,0,0,0},1,MATCH($C$2,Schedule!$K$2:$Z$2,0)),0)-IFERROR(MAX(COUNTIF(INDEX(Schedule!$K$1:$Z$200,64,MATCH($C$2,Schedule!$K$2:$Z$2,0)):INDEX(Schedule!$K$1:$Z$200,77,MATCH($C$2,Schedule!$K$2:$Z$2,0)),"PTO"),INDEX({0,1,0,2,2,2,0,1,1,0,0,0,0,0,0,0},1,MATCH($C$2,Schedule!$K$2:$Z$2,0))),0))</f>
        <v>6</v>
      </c>
      <c r="E10" s="6">
        <f>IFERROR(COUNTIF(INDEX(Schedule!$K$1:$Z$200,64,MATCH($C$2,Schedule!$K$2:$Z$2,0)):INDEX(Schedule!$K$1:$Z$200,77,MATCH($C$2,Schedule!$K$2:$Z$2,0)),"Day")+COUNTIF(INDEX(Schedule!$K$1:$Z$200,64,MATCH($C$2,Schedule!$K$2:$Z$2,0)):INDEX(Schedule!$K$1:$Z$200,77,MATCH($C$2,Schedule!$K$2:$Z$2,0)),"Night")+COUNTIF(INDEX(Schedule!$K$1:$Z$200,64,MATCH($C$2,Schedule!$K$2:$Z$2,0)):INDEX(Schedule!$K$1:$Z$200,77,MATCH($C$2,Schedule!$K$2:$Z$2,0)),"FC3")+COUNTIF(INDEX(Schedule!$K$1:$Z$200,64,MATCH($C$2,Schedule!$K$2:$Z$2,0)):INDEX(Schedule!$K$1:$Z$200,77,MATCH($C$2,Schedule!$K$2:$Z$2,0)),"FC3 Night"),0)</f>
        <v>6</v>
      </c>
      <c r="F10" s="7">
        <f>MAX(0,MAX(0,IFERROR(INDEX({6,6,6,6,6,6,6,6,6,6,0,0,0,0,0,0},1,MATCH($C$2,Schedule!$K$2:$Z$2,0)),0)-IFERROR(INDEX({0,0,0,0,0,0,0,0,0,0,0,0,0,0,0,0},1,MATCH($C$2,Schedule!$K$2:$Z$2,0)),0)-IFERROR(MAX(COUNTIF(INDEX(Schedule!$K$1:$Z$200,64,MATCH($C$2,Schedule!$K$2:$Z$2,0)):INDEX(Schedule!$K$1:$Z$200,77,MATCH($C$2,Schedule!$K$2:$Z$2,0)),"PTO"),INDEX({0,1,0,2,2,2,0,1,1,0,0,0,0,0,0,0},1,MATCH($C$2,Schedule!$K$2:$Z$2,0))),0))-IFERROR(COUNTIF(INDEX(Schedule!$K$1:$Z$200,64,MATCH($C$2,Schedule!$K$2:$Z$2,0)):INDEX(Schedule!$K$1:$Z$200,77,MATCH($C$2,Schedule!$K$2:$Z$2,0)),"Day")+COUNTIF(INDEX(Schedule!$K$1:$Z$200,64,MATCH($C$2,Schedule!$K$2:$Z$2,0)):INDEX(Schedule!$K$1:$Z$200,77,MATCH($C$2,Schedule!$K$2:$Z$2,0)),"Night")+COUNTIF(INDEX(Schedule!$K$1:$Z$200,64,MATCH($C$2,Schedule!$K$2:$Z$2,0)):INDEX(Schedule!$K$1:$Z$200,77,MATCH($C$2,Schedule!$K$2:$Z$2,0)),"FC3")+COUNTIF(INDEX(Schedule!$K$1:$Z$200,64,MATCH($C$2,Schedule!$K$2:$Z$2,0)):INDEX(Schedule!$K$1:$Z$200,77,MATCH($C$2,Schedule!$K$2:$Z$2,0)),"FC3 Night"),0))</f>
        <v>0</v>
      </c>
      <c r="G10" s="8">
        <f>IFERROR(INDEX({0,0,0,0,0,0,0,0,0,0,0,0,0,0,0,0},1,MATCH($C$2,Schedule!$K$2:$Z$2,0)),0)</f>
        <v>0</v>
      </c>
      <c r="H10" s="9">
        <f>IFERROR(MAX(COUNTIF(INDEX(Schedule!$K$1:$Z$200,64,MATCH($C$2,Schedule!$K$2:$Z$2,0)):INDEX(Schedule!$K$1:$Z$200,77,MATCH($C$2,Schedule!$K$2:$Z$2,0)),"PTO"),INDEX({0,1,0,2,2,2,0,1,1,0,0,0,0,0,0,0},1,MATCH($C$2,Schedule!$K$2:$Z$2,0))),0)</f>
        <v>0</v>
      </c>
    </row>
    <row r="11" spans="2:8" x14ac:dyDescent="0.35">
      <c r="B11" s="4" t="s">
        <v>21</v>
      </c>
      <c r="C11" s="5" t="s">
        <v>22</v>
      </c>
      <c r="D11" s="6">
        <f>MAX(0,IFERROR(INDEX({6,6,6,6,6,6,6,6,6,6,0,0,0,0,0,0},1,MATCH($C$2,Schedule!$K$2:$Z$2,0)),0)-IFERROR(INDEX({0,0,0,0,0,0,0,0,0,0,0,0,0,0,0,0},1,MATCH($C$2,Schedule!$K$2:$Z$2,0)),0)-IFERROR(MAX(COUNTIF(INDEX(Schedule!$K$1:$Z$200,79,MATCH($C$2,Schedule!$K$2:$Z$2,0)):INDEX(Schedule!$K$1:$Z$200,92,MATCH($C$2,Schedule!$K$2:$Z$2,0)),"PTO"),INDEX({0,0,0,0,0,0,0,0,0,0,0,0,0,0,0,0},1,MATCH($C$2,Schedule!$K$2:$Z$2,0))),0))</f>
        <v>6</v>
      </c>
      <c r="E11" s="6">
        <f>IFERROR(COUNTIF(INDEX(Schedule!$K$1:$Z$200,79,MATCH($C$2,Schedule!$K$2:$Z$2,0)):INDEX(Schedule!$K$1:$Z$200,92,MATCH($C$2,Schedule!$K$2:$Z$2,0)),"Day")+COUNTIF(INDEX(Schedule!$K$1:$Z$200,79,MATCH($C$2,Schedule!$K$2:$Z$2,0)):INDEX(Schedule!$K$1:$Z$200,92,MATCH($C$2,Schedule!$K$2:$Z$2,0)),"Night")+COUNTIF(INDEX(Schedule!$K$1:$Z$200,79,MATCH($C$2,Schedule!$K$2:$Z$2,0)):INDEX(Schedule!$K$1:$Z$200,92,MATCH($C$2,Schedule!$K$2:$Z$2,0)),"FC3")+COUNTIF(INDEX(Schedule!$K$1:$Z$200,79,MATCH($C$2,Schedule!$K$2:$Z$2,0)):INDEX(Schedule!$K$1:$Z$200,92,MATCH($C$2,Schedule!$K$2:$Z$2,0)),"FC3 Night"),0)</f>
        <v>6</v>
      </c>
      <c r="F11" s="7">
        <f>MAX(0,MAX(0,IFERROR(INDEX({6,6,6,6,6,6,6,6,6,6,0,0,0,0,0,0},1,MATCH($C$2,Schedule!$K$2:$Z$2,0)),0)-IFERROR(INDEX({0,0,0,0,0,0,0,0,0,0,0,0,0,0,0,0},1,MATCH($C$2,Schedule!$K$2:$Z$2,0)),0)-IFERROR(MAX(COUNTIF(INDEX(Schedule!$K$1:$Z$200,79,MATCH($C$2,Schedule!$K$2:$Z$2,0)):INDEX(Schedule!$K$1:$Z$200,92,MATCH($C$2,Schedule!$K$2:$Z$2,0)),"PTO"),INDEX({0,0,0,0,0,0,0,0,0,0,0,0,0,0,0,0},1,MATCH($C$2,Schedule!$K$2:$Z$2,0))),0))-IFERROR(COUNTIF(INDEX(Schedule!$K$1:$Z$200,79,MATCH($C$2,Schedule!$K$2:$Z$2,0)):INDEX(Schedule!$K$1:$Z$200,92,MATCH($C$2,Schedule!$K$2:$Z$2,0)),"Day")+COUNTIF(INDEX(Schedule!$K$1:$Z$200,79,MATCH($C$2,Schedule!$K$2:$Z$2,0)):INDEX(Schedule!$K$1:$Z$200,92,MATCH($C$2,Schedule!$K$2:$Z$2,0)),"Night")+COUNTIF(INDEX(Schedule!$K$1:$Z$200,79,MATCH($C$2,Schedule!$K$2:$Z$2,0)):INDEX(Schedule!$K$1:$Z$200,92,MATCH($C$2,Schedule!$K$2:$Z$2,0)),"FC3")+COUNTIF(INDEX(Schedule!$K$1:$Z$200,79,MATCH($C$2,Schedule!$K$2:$Z$2,0)):INDEX(Schedule!$K$1:$Z$200,92,MATCH($C$2,Schedule!$K$2:$Z$2,0)),"FC3 Night"),0))</f>
        <v>0</v>
      </c>
      <c r="G11" s="8">
        <f>IFERROR(INDEX({0,0,0,0,0,0,0,0,0,0,0,0,0,0,0,0},1,MATCH($C$2,Schedule!$K$2:$Z$2,0)),0)</f>
        <v>0</v>
      </c>
      <c r="H11" s="9">
        <f>IFERROR(MAX(COUNTIF(INDEX(Schedule!$K$1:$Z$200,79,MATCH($C$2,Schedule!$K$2:$Z$2,0)):INDEX(Schedule!$K$1:$Z$200,92,MATCH($C$2,Schedule!$K$2:$Z$2,0)),"PTO"),INDEX({0,0,0,0,0,0,0,0,0,0,0,0,0,0,0,0},1,MATCH($C$2,Schedule!$K$2:$Z$2,0))),0)</f>
        <v>0</v>
      </c>
    </row>
    <row r="12" spans="2:8" x14ac:dyDescent="0.35">
      <c r="B12" s="4" t="s">
        <v>23</v>
      </c>
      <c r="C12" s="5" t="s">
        <v>24</v>
      </c>
      <c r="D12" s="6">
        <f>MAX(0,IFERROR(INDEX({6,6,6,6,6,6,6,6,6,6,0,0,0,0,0,0},1,MATCH($C$2,Schedule!$K$2:$Z$2,0)),0)-IFERROR(INDEX({0,0,0,0,0,0,0,0,0,0,0,0,0,0,0,0},1,MATCH($C$2,Schedule!$K$2:$Z$2,0)),0)-IFERROR(MAX(COUNTIF(INDEX(Schedule!$K$1:$Z$200,94,MATCH($C$2,Schedule!$K$2:$Z$2,0)):INDEX(Schedule!$K$1:$Z$200,107,MATCH($C$2,Schedule!$K$2:$Z$2,0)),"PTO"),INDEX({0,0,0,0,0,0,0,2,0,0,0,0,0,0,0,0},1,MATCH($C$2,Schedule!$K$2:$Z$2,0))),0))</f>
        <v>6</v>
      </c>
      <c r="E12" s="6">
        <f>IFERROR(COUNTIF(INDEX(Schedule!$K$1:$Z$200,94,MATCH($C$2,Schedule!$K$2:$Z$2,0)):INDEX(Schedule!$K$1:$Z$200,107,MATCH($C$2,Schedule!$K$2:$Z$2,0)),"Day")+COUNTIF(INDEX(Schedule!$K$1:$Z$200,94,MATCH($C$2,Schedule!$K$2:$Z$2,0)):INDEX(Schedule!$K$1:$Z$200,107,MATCH($C$2,Schedule!$K$2:$Z$2,0)),"Night")+COUNTIF(INDEX(Schedule!$K$1:$Z$200,94,MATCH($C$2,Schedule!$K$2:$Z$2,0)):INDEX(Schedule!$K$1:$Z$200,107,MATCH($C$2,Schedule!$K$2:$Z$2,0)),"FC3")+COUNTIF(INDEX(Schedule!$K$1:$Z$200,94,MATCH($C$2,Schedule!$K$2:$Z$2,0)):INDEX(Schedule!$K$1:$Z$200,107,MATCH($C$2,Schedule!$K$2:$Z$2,0)),"FC3 Night"),0)</f>
        <v>5</v>
      </c>
      <c r="F12" s="7">
        <f>MAX(0,MAX(0,IFERROR(INDEX({6,6,6,6,6,6,6,6,6,6,0,0,0,0,0,0},1,MATCH($C$2,Schedule!$K$2:$Z$2,0)),0)-IFERROR(INDEX({0,0,0,0,0,0,0,0,0,0,0,0,0,0,0,0},1,MATCH($C$2,Schedule!$K$2:$Z$2,0)),0)-IFERROR(MAX(COUNTIF(INDEX(Schedule!$K$1:$Z$200,94,MATCH($C$2,Schedule!$K$2:$Z$2,0)):INDEX(Schedule!$K$1:$Z$200,107,MATCH($C$2,Schedule!$K$2:$Z$2,0)),"PTO"),INDEX({0,0,0,0,0,0,0,2,0,0,0,0,0,0,0,0},1,MATCH($C$2,Schedule!$K$2:$Z$2,0))),0))-IFERROR(COUNTIF(INDEX(Schedule!$K$1:$Z$200,94,MATCH($C$2,Schedule!$K$2:$Z$2,0)):INDEX(Schedule!$K$1:$Z$200,107,MATCH($C$2,Schedule!$K$2:$Z$2,0)),"Day")+COUNTIF(INDEX(Schedule!$K$1:$Z$200,94,MATCH($C$2,Schedule!$K$2:$Z$2,0)):INDEX(Schedule!$K$1:$Z$200,107,MATCH($C$2,Schedule!$K$2:$Z$2,0)),"Night")+COUNTIF(INDEX(Schedule!$K$1:$Z$200,94,MATCH($C$2,Schedule!$K$2:$Z$2,0)):INDEX(Schedule!$K$1:$Z$200,107,MATCH($C$2,Schedule!$K$2:$Z$2,0)),"FC3")+COUNTIF(INDEX(Schedule!$K$1:$Z$200,94,MATCH($C$2,Schedule!$K$2:$Z$2,0)):INDEX(Schedule!$K$1:$Z$200,107,MATCH($C$2,Schedule!$K$2:$Z$2,0)),"FC3 Night"),0))</f>
        <v>1</v>
      </c>
      <c r="G12" s="8">
        <f>IFERROR(INDEX({0,0,0,0,0,0,0,0,0,0,0,0,0,0,0,0},1,MATCH($C$2,Schedule!$K$2:$Z$2,0)),0)</f>
        <v>0</v>
      </c>
      <c r="H12" s="9">
        <f>IFERROR(MAX(COUNTIF(INDEX(Schedule!$K$1:$Z$200,94,MATCH($C$2,Schedule!$K$2:$Z$2,0)):INDEX(Schedule!$K$1:$Z$200,107,MATCH($C$2,Schedule!$K$2:$Z$2,0)),"PTO"),INDEX({0,0,0,0,0,0,0,2,0,0,0,0,0,0,0,0},1,MATCH($C$2,Schedule!$K$2:$Z$2,0))),0)</f>
        <v>0</v>
      </c>
    </row>
    <row r="13" spans="2:8" x14ac:dyDescent="0.35">
      <c r="B13" s="10" t="s">
        <v>25</v>
      </c>
      <c r="C13" s="10"/>
      <c r="D13" s="11">
        <f>SUM(D6:D12)</f>
        <v>41</v>
      </c>
      <c r="E13" s="11">
        <f>SUM(E6:E12)</f>
        <v>40</v>
      </c>
      <c r="F13" s="11">
        <f>SUM(F6:F12)</f>
        <v>1</v>
      </c>
      <c r="G13" s="11">
        <f>SUM(G6:G12)</f>
        <v>0</v>
      </c>
      <c r="H13" s="11">
        <f>SUM(H6:H12)</f>
        <v>1</v>
      </c>
    </row>
    <row r="15" spans="2:8" ht="19.5" customHeight="1" x14ac:dyDescent="0.35">
      <c r="B15" s="48" t="s">
        <v>26</v>
      </c>
      <c r="C15" s="48"/>
      <c r="D15" s="48"/>
      <c r="E15" s="48"/>
      <c r="F15" s="48"/>
      <c r="G15" s="48"/>
      <c r="H15" s="48"/>
    </row>
    <row r="16" spans="2:8" ht="15.75" customHeight="1" x14ac:dyDescent="0.35">
      <c r="B16" s="12" t="s">
        <v>27</v>
      </c>
      <c r="C16" s="12" t="s">
        <v>28</v>
      </c>
      <c r="D16" s="12" t="s">
        <v>29</v>
      </c>
      <c r="E16" s="12" t="s">
        <v>30</v>
      </c>
      <c r="F16" s="12" t="s">
        <v>31</v>
      </c>
      <c r="G16" s="12" t="s">
        <v>32</v>
      </c>
      <c r="H16" s="12" t="s">
        <v>33</v>
      </c>
    </row>
    <row r="17" spans="2:8" ht="12.75" customHeight="1" x14ac:dyDescent="0.35">
      <c r="B17" s="13"/>
      <c r="C17" s="13"/>
      <c r="D17" s="13"/>
      <c r="E17" s="13"/>
      <c r="F17" s="13">
        <v>1</v>
      </c>
      <c r="G17" s="13">
        <v>2</v>
      </c>
      <c r="H17" s="13">
        <v>3</v>
      </c>
    </row>
    <row r="18" spans="2:8" ht="21.75" customHeight="1" x14ac:dyDescent="0.35">
      <c r="B18" s="14"/>
      <c r="C18" s="14"/>
      <c r="D18" s="14"/>
      <c r="E18" s="14"/>
      <c r="F18" s="14"/>
      <c r="G18" s="14"/>
      <c r="H18" s="14"/>
    </row>
    <row r="19" spans="2:8" ht="12.75" customHeight="1" x14ac:dyDescent="0.35">
      <c r="B19" s="13">
        <v>4</v>
      </c>
      <c r="C19" s="13">
        <v>5</v>
      </c>
      <c r="D19" s="13">
        <v>6</v>
      </c>
      <c r="E19" s="13">
        <v>7</v>
      </c>
      <c r="F19" s="13">
        <v>8</v>
      </c>
      <c r="G19" s="13">
        <v>9</v>
      </c>
      <c r="H19" s="13">
        <v>10</v>
      </c>
    </row>
    <row r="20" spans="2:8" ht="21.75" customHeight="1" x14ac:dyDescent="0.35">
      <c r="B20" s="14"/>
      <c r="C20" s="14"/>
      <c r="D20" s="14"/>
      <c r="E20" s="14"/>
      <c r="F20" s="14"/>
      <c r="G20" s="14"/>
      <c r="H20" s="14"/>
    </row>
    <row r="21" spans="2:8" ht="12.75" customHeight="1" x14ac:dyDescent="0.35">
      <c r="B21" s="13">
        <v>11</v>
      </c>
      <c r="C21" s="13">
        <v>12</v>
      </c>
      <c r="D21" s="13">
        <v>13</v>
      </c>
      <c r="E21" s="13">
        <v>14</v>
      </c>
      <c r="F21" s="13">
        <v>15</v>
      </c>
      <c r="G21" s="13">
        <v>16</v>
      </c>
      <c r="H21" s="13">
        <v>17</v>
      </c>
    </row>
    <row r="22" spans="2:8" ht="21.75" customHeight="1" x14ac:dyDescent="0.35">
      <c r="B22" s="14"/>
      <c r="C22" s="14"/>
      <c r="D22" s="14"/>
      <c r="E22" s="14"/>
      <c r="F22" s="14"/>
      <c r="G22" s="14"/>
      <c r="H22" s="14"/>
    </row>
    <row r="23" spans="2:8" ht="12.75" customHeight="1" x14ac:dyDescent="0.35">
      <c r="B23" s="13">
        <v>18</v>
      </c>
      <c r="C23" s="13">
        <v>19</v>
      </c>
      <c r="D23" s="13">
        <v>20</v>
      </c>
      <c r="E23" s="13">
        <v>21</v>
      </c>
      <c r="F23" s="13">
        <v>22</v>
      </c>
      <c r="G23" s="13">
        <v>23</v>
      </c>
      <c r="H23" s="13">
        <v>24</v>
      </c>
    </row>
    <row r="24" spans="2:8" ht="21.75" customHeight="1" x14ac:dyDescent="0.35">
      <c r="B24" s="14"/>
      <c r="C24" s="14"/>
      <c r="D24" s="14"/>
      <c r="E24" s="14"/>
      <c r="F24" s="14"/>
      <c r="G24" s="14"/>
      <c r="H24" s="14"/>
    </row>
    <row r="25" spans="2:8" ht="12.75" customHeight="1" x14ac:dyDescent="0.35">
      <c r="B25" s="13">
        <v>25</v>
      </c>
      <c r="C25" s="15">
        <v>26</v>
      </c>
      <c r="D25" s="15">
        <v>27</v>
      </c>
      <c r="E25" s="15">
        <v>28</v>
      </c>
      <c r="F25" s="15">
        <v>29</v>
      </c>
      <c r="G25" s="15">
        <v>30</v>
      </c>
      <c r="H25" s="17">
        <v>31</v>
      </c>
    </row>
    <row r="26" spans="2:8" ht="21.75" customHeight="1" x14ac:dyDescent="0.35">
      <c r="B26" s="14"/>
      <c r="C26" s="16" t="str">
        <f>IFERROR(IF(INDEX(Schedule!$K$4:$Z$4,1,MATCH($C$2,Schedule!$K$2:$Z$2,0))&lt;&gt;"",INDEX(Schedule!$K$4:$Z$4,1,MATCH($C$2,Schedule!$K$2:$Z$2,0)),""),"")</f>
        <v/>
      </c>
      <c r="D26" s="16" t="str">
        <f>IFERROR(IF(INDEX(Schedule!$K$5:$Z$5,1,MATCH($C$2,Schedule!$K$2:$Z$2,0))&lt;&gt;"",INDEX(Schedule!$K$5:$Z$5,1,MATCH($C$2,Schedule!$K$2:$Z$2,0)),""),"")</f>
        <v>Day</v>
      </c>
      <c r="E26" s="16" t="str">
        <f>IFERROR(IF(INDEX(Schedule!$K$6:$Z$6,1,MATCH($C$2,Schedule!$K$2:$Z$2,0))&lt;&gt;"",INDEX(Schedule!$K$6:$Z$6,1,MATCH($C$2,Schedule!$K$2:$Z$2,0)),""),"")</f>
        <v>Day</v>
      </c>
      <c r="F26" s="16" t="str">
        <f>IFERROR(IF(INDEX(Schedule!$K$7:$Z$7,1,MATCH($C$2,Schedule!$K$2:$Z$2,0))&lt;&gt;"",INDEX(Schedule!$K$7:$Z$7,1,MATCH($C$2,Schedule!$K$2:$Z$2,0)),""),"")</f>
        <v>Day</v>
      </c>
      <c r="G26" s="16" t="str">
        <f>IFERROR(IF(INDEX(Schedule!$K$8:$Z$8,1,MATCH($C$2,Schedule!$K$2:$Z$2,0))&lt;&gt;"",INDEX(Schedule!$K$8:$Z$8,1,MATCH($C$2,Schedule!$K$2:$Z$2,0)),""),"")</f>
        <v/>
      </c>
      <c r="H26" s="18" t="str">
        <f>IFERROR(IF(INDEX(Schedule!$K$9:$Z$9,1,MATCH($C$2,Schedule!$K$2:$Z$2,0))&lt;&gt;"",INDEX(Schedule!$K$9:$Z$9,1,MATCH($C$2,Schedule!$K$2:$Z$2,0)),""),"")</f>
        <v/>
      </c>
    </row>
    <row r="27" spans="2:8" ht="7.5" customHeight="1" x14ac:dyDescent="0.35"/>
    <row r="28" spans="2:8" ht="19.5" customHeight="1" x14ac:dyDescent="0.35">
      <c r="B28" s="48" t="s">
        <v>34</v>
      </c>
      <c r="C28" s="48"/>
      <c r="D28" s="48"/>
      <c r="E28" s="48"/>
      <c r="F28" s="48"/>
      <c r="G28" s="48"/>
      <c r="H28" s="48"/>
    </row>
    <row r="29" spans="2:8" ht="15.75" customHeight="1" x14ac:dyDescent="0.35">
      <c r="B29" s="12" t="s">
        <v>27</v>
      </c>
      <c r="C29" s="12" t="s">
        <v>28</v>
      </c>
      <c r="D29" s="12" t="s">
        <v>29</v>
      </c>
      <c r="E29" s="12" t="s">
        <v>30</v>
      </c>
      <c r="F29" s="12" t="s">
        <v>31</v>
      </c>
      <c r="G29" s="12" t="s">
        <v>32</v>
      </c>
      <c r="H29" s="12" t="s">
        <v>33</v>
      </c>
    </row>
    <row r="30" spans="2:8" ht="12.75" customHeight="1" x14ac:dyDescent="0.35">
      <c r="B30" s="17">
        <v>1</v>
      </c>
      <c r="C30" s="15">
        <v>2</v>
      </c>
      <c r="D30" s="15">
        <v>3</v>
      </c>
      <c r="E30" s="15">
        <v>4</v>
      </c>
      <c r="F30" s="15">
        <v>5</v>
      </c>
      <c r="G30" s="15">
        <v>6</v>
      </c>
      <c r="H30" s="17">
        <v>7</v>
      </c>
    </row>
    <row r="31" spans="2:8" ht="21.75" customHeight="1" x14ac:dyDescent="0.35">
      <c r="B31" s="18" t="str">
        <f>IFERROR(IF(INDEX(Schedule!$K$10:$Z$10,1,MATCH($C$2,Schedule!$K$2:$Z$2,0))&lt;&gt;"",INDEX(Schedule!$K$10:$Z$10,1,MATCH($C$2,Schedule!$K$2:$Z$2,0)),""),"")</f>
        <v>OFF</v>
      </c>
      <c r="C31" s="16" t="str">
        <f>IFERROR(IF(INDEX(Schedule!$K$11:$Z$11,1,MATCH($C$2,Schedule!$K$2:$Z$2,0))&lt;&gt;"",INDEX(Schedule!$K$11:$Z$11,1,MATCH($C$2,Schedule!$K$2:$Z$2,0)),""),"")</f>
        <v/>
      </c>
      <c r="D31" s="16" t="str">
        <f>IFERROR(IF(INDEX(Schedule!$K$12:$Z$12,1,MATCH($C$2,Schedule!$K$2:$Z$2,0))&lt;&gt;"",INDEX(Schedule!$K$12:$Z$12,1,MATCH($C$2,Schedule!$K$2:$Z$2,0)),""),"")</f>
        <v/>
      </c>
      <c r="E31" s="16" t="str">
        <f>IFERROR(IF(INDEX(Schedule!$K$13:$Z$13,1,MATCH($C$2,Schedule!$K$2:$Z$2,0))&lt;&gt;"",INDEX(Schedule!$K$13:$Z$13,1,MATCH($C$2,Schedule!$K$2:$Z$2,0)),""),"")</f>
        <v>Day</v>
      </c>
      <c r="F31" s="16" t="str">
        <f>IFERROR(IF(INDEX(Schedule!$K$14:$Z$14,1,MATCH($C$2,Schedule!$K$2:$Z$2,0))&lt;&gt;"",INDEX(Schedule!$K$14:$Z$14,1,MATCH($C$2,Schedule!$K$2:$Z$2,0)),""),"")</f>
        <v>Day</v>
      </c>
      <c r="G31" s="16" t="str">
        <f>IFERROR(IF(INDEX(Schedule!$K$15:$Z$15,1,MATCH($C$2,Schedule!$K$2:$Z$2,0))&lt;&gt;"",INDEX(Schedule!$K$15:$Z$15,1,MATCH($C$2,Schedule!$K$2:$Z$2,0)),""),"")</f>
        <v/>
      </c>
      <c r="H31" s="18" t="str">
        <f>IFERROR(IF(INDEX(Schedule!$K$16:$Z$16,1,MATCH($C$2,Schedule!$K$2:$Z$2,0))&lt;&gt;"",INDEX(Schedule!$K$16:$Z$16,1,MATCH($C$2,Schedule!$K$2:$Z$2,0)),""),"")</f>
        <v/>
      </c>
    </row>
    <row r="32" spans="2:8" ht="12.75" customHeight="1" x14ac:dyDescent="0.35">
      <c r="B32" s="17">
        <v>8</v>
      </c>
      <c r="C32" s="15">
        <v>9</v>
      </c>
      <c r="D32" s="15">
        <v>10</v>
      </c>
      <c r="E32" s="15">
        <v>11</v>
      </c>
      <c r="F32" s="15">
        <v>12</v>
      </c>
      <c r="G32" s="15">
        <v>13</v>
      </c>
      <c r="H32" s="17">
        <v>14</v>
      </c>
    </row>
    <row r="33" spans="2:8" ht="21.75" customHeight="1" x14ac:dyDescent="0.35">
      <c r="B33" s="18" t="str">
        <f>IFERROR(IF(INDEX(Schedule!$K$17:$Z$17,1,MATCH($C$2,Schedule!$K$2:$Z$2,0))&lt;&gt;"",INDEX(Schedule!$K$17:$Z$17,1,MATCH($C$2,Schedule!$K$2:$Z$2,0)),""),"")</f>
        <v>Night</v>
      </c>
      <c r="C33" s="16" t="str">
        <f>IFERROR(IF(INDEX(Schedule!$K$19:$Z$19,1,MATCH($C$2,Schedule!$K$2:$Z$2,0))&lt;&gt;"",INDEX(Schedule!$K$19:$Z$19,1,MATCH($C$2,Schedule!$K$2:$Z$2,0)),""),"")</f>
        <v>Night</v>
      </c>
      <c r="D33" s="16" t="str">
        <f>IFERROR(IF(INDEX(Schedule!$K$20:$Z$20,1,MATCH($C$2,Schedule!$K$2:$Z$2,0))&lt;&gt;"",INDEX(Schedule!$K$20:$Z$20,1,MATCH($C$2,Schedule!$K$2:$Z$2,0)),""),"")</f>
        <v>Night</v>
      </c>
      <c r="E33" s="16" t="str">
        <f>IFERROR(IF(INDEX(Schedule!$K$21:$Z$21,1,MATCH($C$2,Schedule!$K$2:$Z$2,0))&lt;&gt;"",INDEX(Schedule!$K$21:$Z$21,1,MATCH($C$2,Schedule!$K$2:$Z$2,0)),""),"")</f>
        <v/>
      </c>
      <c r="F33" s="16" t="str">
        <f>IFERROR(IF(INDEX(Schedule!$K$22:$Z$22,1,MATCH($C$2,Schedule!$K$2:$Z$2,0))&lt;&gt;"",INDEX(Schedule!$K$22:$Z$22,1,MATCH($C$2,Schedule!$K$2:$Z$2,0)),""),"")</f>
        <v/>
      </c>
      <c r="G33" s="16" t="str">
        <f>IFERROR(IF(INDEX(Schedule!$K$23:$Z$23,1,MATCH($C$2,Schedule!$K$2:$Z$2,0))&lt;&gt;"",INDEX(Schedule!$K$23:$Z$23,1,MATCH($C$2,Schedule!$K$2:$Z$2,0)),""),"")</f>
        <v/>
      </c>
      <c r="H33" s="18" t="str">
        <f>IFERROR(IF(INDEX(Schedule!$K$24:$Z$24,1,MATCH($C$2,Schedule!$K$2:$Z$2,0))&lt;&gt;"",INDEX(Schedule!$K$24:$Z$24,1,MATCH($C$2,Schedule!$K$2:$Z$2,0)),""),"")</f>
        <v>OFF</v>
      </c>
    </row>
    <row r="34" spans="2:8" ht="12.75" customHeight="1" x14ac:dyDescent="0.35">
      <c r="B34" s="17">
        <v>15</v>
      </c>
      <c r="C34" s="15">
        <v>16</v>
      </c>
      <c r="D34" s="15">
        <v>17</v>
      </c>
      <c r="E34" s="15">
        <v>18</v>
      </c>
      <c r="F34" s="15">
        <v>19</v>
      </c>
      <c r="G34" s="15">
        <v>20</v>
      </c>
      <c r="H34" s="17">
        <v>21</v>
      </c>
    </row>
    <row r="35" spans="2:8" ht="21.75" customHeight="1" x14ac:dyDescent="0.35">
      <c r="B35" s="18" t="str">
        <f>IFERROR(IF(INDEX(Schedule!$K$25:$Z$25,1,MATCH($C$2,Schedule!$K$2:$Z$2,0))&lt;&gt;"",INDEX(Schedule!$K$25:$Z$25,1,MATCH($C$2,Schedule!$K$2:$Z$2,0)),""),"")</f>
        <v>OFF</v>
      </c>
      <c r="C35" s="16" t="str">
        <f>IFERROR(IF(INDEX(Schedule!$K$26:$Z$26,1,MATCH($C$2,Schedule!$K$2:$Z$2,0))&lt;&gt;"",INDEX(Schedule!$K$26:$Z$26,1,MATCH($C$2,Schedule!$K$2:$Z$2,0)),""),"")</f>
        <v>Day</v>
      </c>
      <c r="D35" s="16" t="str">
        <f>IFERROR(IF(INDEX(Schedule!$K$27:$Z$27,1,MATCH($C$2,Schedule!$K$2:$Z$2,0))&lt;&gt;"",INDEX(Schedule!$K$27:$Z$27,1,MATCH($C$2,Schedule!$K$2:$Z$2,0)),""),"")</f>
        <v/>
      </c>
      <c r="E35" s="16" t="str">
        <f>IFERROR(IF(INDEX(Schedule!$K$28:$Z$28,1,MATCH($C$2,Schedule!$K$2:$Z$2,0))&lt;&gt;"",INDEX(Schedule!$K$28:$Z$28,1,MATCH($C$2,Schedule!$K$2:$Z$2,0)),""),"")</f>
        <v/>
      </c>
      <c r="F35" s="16" t="str">
        <f>IFERROR(IF(INDEX(Schedule!$K$29:$Z$29,1,MATCH($C$2,Schedule!$K$2:$Z$2,0))&lt;&gt;"",INDEX(Schedule!$K$29:$Z$29,1,MATCH($C$2,Schedule!$K$2:$Z$2,0)),""),"")</f>
        <v/>
      </c>
      <c r="G35" s="16" t="str">
        <f>IFERROR(IF(INDEX(Schedule!$K$30:$Z$30,1,MATCH($C$2,Schedule!$K$2:$Z$2,0))&lt;&gt;"",INDEX(Schedule!$K$30:$Z$30,1,MATCH($C$2,Schedule!$K$2:$Z$2,0)),""),"")</f>
        <v>Day</v>
      </c>
      <c r="H35" s="18" t="str">
        <f>IFERROR(IF(INDEX(Schedule!$K$31:$Z$31,1,MATCH($C$2,Schedule!$K$2:$Z$2,0))&lt;&gt;"",INDEX(Schedule!$K$31:$Z$31,1,MATCH($C$2,Schedule!$K$2:$Z$2,0)),""),"")</f>
        <v>Day</v>
      </c>
    </row>
    <row r="36" spans="2:8" ht="12.75" customHeight="1" x14ac:dyDescent="0.35">
      <c r="B36" s="17">
        <v>22</v>
      </c>
      <c r="C36" s="15">
        <v>23</v>
      </c>
      <c r="D36" s="15">
        <v>24</v>
      </c>
      <c r="E36" s="15">
        <v>25</v>
      </c>
      <c r="F36" s="15">
        <v>26</v>
      </c>
      <c r="G36" s="15">
        <v>27</v>
      </c>
      <c r="H36" s="17">
        <v>28</v>
      </c>
    </row>
    <row r="37" spans="2:8" ht="21.75" customHeight="1" x14ac:dyDescent="0.35">
      <c r="B37" s="18" t="str">
        <f>IFERROR(IF(INDEX(Schedule!$K$32:$Z$32,1,MATCH($C$2,Schedule!$K$2:$Z$2,0))&lt;&gt;"",INDEX(Schedule!$K$32:$Z$32,1,MATCH($C$2,Schedule!$K$2:$Z$2,0)),""),"")</f>
        <v>Day</v>
      </c>
      <c r="C37" s="16" t="str">
        <f>IFERROR(IF(INDEX(Schedule!$K$34:$Z$34,1,MATCH($C$2,Schedule!$K$2:$Z$2,0))&lt;&gt;"",INDEX(Schedule!$K$34:$Z$34,1,MATCH($C$2,Schedule!$K$2:$Z$2,0)),""),"")</f>
        <v>Day</v>
      </c>
      <c r="D37" s="16" t="str">
        <f>IFERROR(IF(INDEX(Schedule!$K$35:$Z$35,1,MATCH($C$2,Schedule!$K$2:$Z$2,0))&lt;&gt;"",INDEX(Schedule!$K$35:$Z$35,1,MATCH($C$2,Schedule!$K$2:$Z$2,0)),""),"")</f>
        <v/>
      </c>
      <c r="E37" s="16" t="str">
        <f>IFERROR(IF(INDEX(Schedule!$K$36:$Z$36,1,MATCH($C$2,Schedule!$K$2:$Z$2,0))&lt;&gt;"",INDEX(Schedule!$K$36:$Z$36,1,MATCH($C$2,Schedule!$K$2:$Z$2,0)),""),"")</f>
        <v>Day</v>
      </c>
      <c r="F37" s="16" t="str">
        <f>IFERROR(IF(INDEX(Schedule!$K$37:$Z$37,1,MATCH($C$2,Schedule!$K$2:$Z$2,0))&lt;&gt;"",INDEX(Schedule!$K$37:$Z$37,1,MATCH($C$2,Schedule!$K$2:$Z$2,0)),""),"")</f>
        <v>OFF</v>
      </c>
      <c r="G37" s="16" t="str">
        <f>IFERROR(IF(INDEX(Schedule!$K$38:$Z$38,1,MATCH($C$2,Schedule!$K$2:$Z$2,0))&lt;&gt;"",INDEX(Schedule!$K$38:$Z$38,1,MATCH($C$2,Schedule!$K$2:$Z$2,0)),""),"")</f>
        <v>OFF</v>
      </c>
      <c r="H37" s="18" t="str">
        <f>IFERROR(IF(INDEX(Schedule!$K$39:$Z$39,1,MATCH($C$2,Schedule!$K$2:$Z$2,0))&lt;&gt;"",INDEX(Schedule!$K$39:$Z$39,1,MATCH($C$2,Schedule!$K$2:$Z$2,0)),""),"")</f>
        <v>OFF</v>
      </c>
    </row>
    <row r="38" spans="2:8" ht="12.75" customHeight="1" x14ac:dyDescent="0.35">
      <c r="B38" s="17">
        <v>29</v>
      </c>
      <c r="C38" s="15">
        <v>30</v>
      </c>
      <c r="D38" s="13"/>
      <c r="E38" s="13"/>
      <c r="F38" s="13"/>
      <c r="G38" s="13"/>
      <c r="H38" s="13"/>
    </row>
    <row r="39" spans="2:8" ht="21.75" customHeight="1" x14ac:dyDescent="0.35">
      <c r="B39" s="18" t="str">
        <f>IFERROR(IF(INDEX(Schedule!$K$40:$Z$40,1,MATCH($C$2,Schedule!$K$2:$Z$2,0))&lt;&gt;"",INDEX(Schedule!$K$40:$Z$40,1,MATCH($C$2,Schedule!$K$2:$Z$2,0)),""),"")</f>
        <v>Day</v>
      </c>
      <c r="C39" s="16" t="str">
        <f>IFERROR(IF(INDEX(Schedule!$K$41:$Z$41,1,MATCH($C$2,Schedule!$K$2:$Z$2,0))&lt;&gt;"",INDEX(Schedule!$K$41:$Z$41,1,MATCH($C$2,Schedule!$K$2:$Z$2,0)),""),"")</f>
        <v>Day</v>
      </c>
      <c r="D39" s="14"/>
      <c r="E39" s="14"/>
      <c r="F39" s="14"/>
      <c r="G39" s="14"/>
      <c r="H39" s="14"/>
    </row>
    <row r="40" spans="2:8" ht="7.5" customHeight="1" x14ac:dyDescent="0.35"/>
    <row r="41" spans="2:8" ht="19.5" customHeight="1" x14ac:dyDescent="0.35">
      <c r="B41" s="48" t="s">
        <v>35</v>
      </c>
      <c r="C41" s="48"/>
      <c r="D41" s="48"/>
      <c r="E41" s="48"/>
      <c r="F41" s="48"/>
      <c r="G41" s="48"/>
      <c r="H41" s="48"/>
    </row>
    <row r="42" spans="2:8" ht="15.75" customHeight="1" x14ac:dyDescent="0.35">
      <c r="B42" s="12" t="s">
        <v>27</v>
      </c>
      <c r="C42" s="12" t="s">
        <v>28</v>
      </c>
      <c r="D42" s="12" t="s">
        <v>29</v>
      </c>
      <c r="E42" s="12" t="s">
        <v>30</v>
      </c>
      <c r="F42" s="12" t="s">
        <v>31</v>
      </c>
      <c r="G42" s="12" t="s">
        <v>32</v>
      </c>
      <c r="H42" s="12" t="s">
        <v>33</v>
      </c>
    </row>
    <row r="43" spans="2:8" ht="12.75" customHeight="1" x14ac:dyDescent="0.35">
      <c r="B43" s="13"/>
      <c r="C43" s="13"/>
      <c r="D43" s="15">
        <v>1</v>
      </c>
      <c r="E43" s="15">
        <v>2</v>
      </c>
      <c r="F43" s="15">
        <v>3</v>
      </c>
      <c r="G43" s="15">
        <v>4</v>
      </c>
      <c r="H43" s="17">
        <v>5</v>
      </c>
    </row>
    <row r="44" spans="2:8" ht="21.75" customHeight="1" x14ac:dyDescent="0.35">
      <c r="B44" s="14"/>
      <c r="C44" s="14"/>
      <c r="D44" s="16" t="str">
        <f>IFERROR(IF(INDEX(Schedule!$K$42:$Z$42,1,MATCH($C$2,Schedule!$K$2:$Z$2,0))&lt;&gt;"",INDEX(Schedule!$K$42:$Z$42,1,MATCH($C$2,Schedule!$K$2:$Z$2,0)),""),"")</f>
        <v/>
      </c>
      <c r="E44" s="16" t="str">
        <f>IFERROR(IF(INDEX(Schedule!$K$43:$Z$43,1,MATCH($C$2,Schedule!$K$2:$Z$2,0))&lt;&gt;"",INDEX(Schedule!$K$43:$Z$43,1,MATCH($C$2,Schedule!$K$2:$Z$2,0)),""),"")</f>
        <v/>
      </c>
      <c r="F44" s="16" t="str">
        <f>IFERROR(IF(INDEX(Schedule!$K$44:$Z$44,1,MATCH($C$2,Schedule!$K$2:$Z$2,0))&lt;&gt;"",INDEX(Schedule!$K$44:$Z$44,1,MATCH($C$2,Schedule!$K$2:$Z$2,0)),""),"")</f>
        <v/>
      </c>
      <c r="G44" s="16" t="str">
        <f>IFERROR(IF(INDEX(Schedule!$K$45:$Z$45,1,MATCH($C$2,Schedule!$K$2:$Z$2,0))&lt;&gt;"",INDEX(Schedule!$K$45:$Z$45,1,MATCH($C$2,Schedule!$K$2:$Z$2,0)),""),"")</f>
        <v/>
      </c>
      <c r="H44" s="18" t="str">
        <f>IFERROR(IF(INDEX(Schedule!$K$46:$Z$46,1,MATCH($C$2,Schedule!$K$2:$Z$2,0))&lt;&gt;"",INDEX(Schedule!$K$46:$Z$46,1,MATCH($C$2,Schedule!$K$2:$Z$2,0)),""),"")</f>
        <v>Night</v>
      </c>
    </row>
    <row r="45" spans="2:8" ht="12.75" customHeight="1" x14ac:dyDescent="0.35">
      <c r="B45" s="17">
        <v>6</v>
      </c>
      <c r="C45" s="15">
        <v>7</v>
      </c>
      <c r="D45" s="15">
        <v>8</v>
      </c>
      <c r="E45" s="15">
        <v>9</v>
      </c>
      <c r="F45" s="15">
        <v>10</v>
      </c>
      <c r="G45" s="15">
        <v>11</v>
      </c>
      <c r="H45" s="17">
        <v>12</v>
      </c>
    </row>
    <row r="46" spans="2:8" ht="21.75" customHeight="1" x14ac:dyDescent="0.35">
      <c r="B46" s="18" t="str">
        <f>IFERROR(IF(INDEX(Schedule!$K$47:$Z$47,1,MATCH($C$2,Schedule!$K$2:$Z$2,0))&lt;&gt;"",INDEX(Schedule!$K$47:$Z$47,1,MATCH($C$2,Schedule!$K$2:$Z$2,0)),""),"")</f>
        <v>Night</v>
      </c>
      <c r="C46" s="16" t="str">
        <f>IFERROR(IF(INDEX(Schedule!$K$49:$Z$49,1,MATCH($C$2,Schedule!$K$2:$Z$2,0))&lt;&gt;"",INDEX(Schedule!$K$49:$Z$49,1,MATCH($C$2,Schedule!$K$2:$Z$2,0)),""),"")</f>
        <v>Night</v>
      </c>
      <c r="D46" s="16" t="str">
        <f>IFERROR(IF(INDEX(Schedule!$K$50:$Z$50,1,MATCH($C$2,Schedule!$K$2:$Z$2,0))&lt;&gt;"",INDEX(Schedule!$K$50:$Z$50,1,MATCH($C$2,Schedule!$K$2:$Z$2,0)),""),"")</f>
        <v/>
      </c>
      <c r="E46" s="16" t="str">
        <f>IFERROR(IF(INDEX(Schedule!$K$51:$Z$51,1,MATCH($C$2,Schedule!$K$2:$Z$2,0))&lt;&gt;"",INDEX(Schedule!$K$51:$Z$51,1,MATCH($C$2,Schedule!$K$2:$Z$2,0)),""),"")</f>
        <v>OFF</v>
      </c>
      <c r="F46" s="16" t="str">
        <f>IFERROR(IF(INDEX(Schedule!$K$52:$Z$52,1,MATCH($C$2,Schedule!$K$2:$Z$2,0))&lt;&gt;"",INDEX(Schedule!$K$52:$Z$52,1,MATCH($C$2,Schedule!$K$2:$Z$2,0)),""),"")</f>
        <v>OFF</v>
      </c>
      <c r="G46" s="16" t="str">
        <f>IFERROR(IF(INDEX(Schedule!$K$53:$Z$53,1,MATCH($C$2,Schedule!$K$2:$Z$2,0))&lt;&gt;"",INDEX(Schedule!$K$53:$Z$53,1,MATCH($C$2,Schedule!$K$2:$Z$2,0)),""),"")</f>
        <v>OFF</v>
      </c>
      <c r="H46" s="18" t="str">
        <f>IFERROR(IF(INDEX(Schedule!$K$54:$Z$54,1,MATCH($C$2,Schedule!$K$2:$Z$2,0))&lt;&gt;"",INDEX(Schedule!$K$54:$Z$54,1,MATCH($C$2,Schedule!$K$2:$Z$2,0)),""),"")</f>
        <v>OFF</v>
      </c>
    </row>
    <row r="47" spans="2:8" ht="12.75" customHeight="1" x14ac:dyDescent="0.35">
      <c r="B47" s="17">
        <v>13</v>
      </c>
      <c r="C47" s="15">
        <v>14</v>
      </c>
      <c r="D47" s="15">
        <v>15</v>
      </c>
      <c r="E47" s="15">
        <v>16</v>
      </c>
      <c r="F47" s="15">
        <v>17</v>
      </c>
      <c r="G47" s="15">
        <v>18</v>
      </c>
      <c r="H47" s="17">
        <v>19</v>
      </c>
    </row>
    <row r="48" spans="2:8" ht="21.75" customHeight="1" x14ac:dyDescent="0.35">
      <c r="B48" s="18" t="str">
        <f>IFERROR(IF(INDEX(Schedule!$K$55:$Z$55,1,MATCH($C$2,Schedule!$K$2:$Z$2,0))&lt;&gt;"",INDEX(Schedule!$K$55:$Z$55,1,MATCH($C$2,Schedule!$K$2:$Z$2,0)),""),"")</f>
        <v>OFF</v>
      </c>
      <c r="C48" s="16" t="str">
        <f>IFERROR(IF(INDEX(Schedule!$K$56:$Z$56,1,MATCH($C$2,Schedule!$K$2:$Z$2,0))&lt;&gt;"",INDEX(Schedule!$K$56:$Z$56,1,MATCH($C$2,Schedule!$K$2:$Z$2,0)),""),"")</f>
        <v/>
      </c>
      <c r="D48" s="16" t="str">
        <f>IFERROR(IF(INDEX(Schedule!$K$57:$Z$57,1,MATCH($C$2,Schedule!$K$2:$Z$2,0))&lt;&gt;"",INDEX(Schedule!$K$57:$Z$57,1,MATCH($C$2,Schedule!$K$2:$Z$2,0)),""),"")</f>
        <v>Day</v>
      </c>
      <c r="E48" s="16" t="str">
        <f>IFERROR(IF(INDEX(Schedule!$K$58:$Z$58,1,MATCH($C$2,Schedule!$K$2:$Z$2,0))&lt;&gt;"",INDEX(Schedule!$K$58:$Z$58,1,MATCH($C$2,Schedule!$K$2:$Z$2,0)),""),"")</f>
        <v>Day</v>
      </c>
      <c r="F48" s="16" t="str">
        <f>IFERROR(IF(INDEX(Schedule!$K$59:$Z$59,1,MATCH($C$2,Schedule!$K$2:$Z$2,0))&lt;&gt;"",INDEX(Schedule!$K$59:$Z$59,1,MATCH($C$2,Schedule!$K$2:$Z$2,0)),""),"")</f>
        <v>Day</v>
      </c>
      <c r="G48" s="16" t="str">
        <f>IFERROR(IF(INDEX(Schedule!$K$60:$Z$60,1,MATCH($C$2,Schedule!$K$2:$Z$2,0))&lt;&gt;"",INDEX(Schedule!$K$60:$Z$60,1,MATCH($C$2,Schedule!$K$2:$Z$2,0)),""),"")</f>
        <v>Day</v>
      </c>
      <c r="H48" s="18" t="str">
        <f>IFERROR(IF(INDEX(Schedule!$K$61:$Z$61,1,MATCH($C$2,Schedule!$K$2:$Z$2,0))&lt;&gt;"",INDEX(Schedule!$K$61:$Z$61,1,MATCH($C$2,Schedule!$K$2:$Z$2,0)),""),"")</f>
        <v/>
      </c>
    </row>
    <row r="49" spans="2:8" ht="12.75" customHeight="1" x14ac:dyDescent="0.35">
      <c r="B49" s="17">
        <v>20</v>
      </c>
      <c r="C49" s="15">
        <v>21</v>
      </c>
      <c r="D49" s="15">
        <v>22</v>
      </c>
      <c r="E49" s="15">
        <v>23</v>
      </c>
      <c r="F49" s="15">
        <v>24</v>
      </c>
      <c r="G49" s="15">
        <v>25</v>
      </c>
      <c r="H49" s="17">
        <v>26</v>
      </c>
    </row>
    <row r="50" spans="2:8" ht="21.75" customHeight="1" x14ac:dyDescent="0.35">
      <c r="B50" s="18" t="str">
        <f>IFERROR(IF(INDEX(Schedule!$K$62:$Z$62,1,MATCH($C$2,Schedule!$K$2:$Z$2,0))&lt;&gt;"",INDEX(Schedule!$K$62:$Z$62,1,MATCH($C$2,Schedule!$K$2:$Z$2,0)),""),"")</f>
        <v/>
      </c>
      <c r="C50" s="16" t="str">
        <f>IFERROR(IF(INDEX(Schedule!$K$64:$Z$64,1,MATCH($C$2,Schedule!$K$2:$Z$2,0))&lt;&gt;"",INDEX(Schedule!$K$64:$Z$64,1,MATCH($C$2,Schedule!$K$2:$Z$2,0)),""),"")</f>
        <v/>
      </c>
      <c r="D50" s="16" t="str">
        <f>IFERROR(IF(INDEX(Schedule!$K$65:$Z$65,1,MATCH($C$2,Schedule!$K$2:$Z$2,0))&lt;&gt;"",INDEX(Schedule!$K$65:$Z$65,1,MATCH($C$2,Schedule!$K$2:$Z$2,0)),""),"")</f>
        <v>Day</v>
      </c>
      <c r="E50" s="16" t="str">
        <f>IFERROR(IF(INDEX(Schedule!$K$66:$Z$66,1,MATCH($C$2,Schedule!$K$2:$Z$2,0))&lt;&gt;"",INDEX(Schedule!$K$66:$Z$66,1,MATCH($C$2,Schedule!$K$2:$Z$2,0)),""),"")</f>
        <v/>
      </c>
      <c r="F50" s="16" t="str">
        <f>IFERROR(IF(INDEX(Schedule!$K$67:$Z$67,1,MATCH($C$2,Schedule!$K$2:$Z$2,0))&lt;&gt;"",INDEX(Schedule!$K$67:$Z$67,1,MATCH($C$2,Schedule!$K$2:$Z$2,0)),""),"")</f>
        <v>OFF</v>
      </c>
      <c r="G50" s="16" t="str">
        <f>IFERROR(IF(INDEX(Schedule!$K$68:$Z$68,1,MATCH($C$2,Schedule!$K$2:$Z$2,0))&lt;&gt;"",INDEX(Schedule!$K$68:$Z$68,1,MATCH($C$2,Schedule!$K$2:$Z$2,0)),""),"")</f>
        <v>OFF</v>
      </c>
      <c r="H50" s="18" t="str">
        <f>IFERROR(IF(INDEX(Schedule!$K$69:$Z$69,1,MATCH($C$2,Schedule!$K$2:$Z$2,0))&lt;&gt;"",INDEX(Schedule!$K$69:$Z$69,1,MATCH($C$2,Schedule!$K$2:$Z$2,0)),""),"")</f>
        <v>Day</v>
      </c>
    </row>
    <row r="51" spans="2:8" ht="12.75" customHeight="1" x14ac:dyDescent="0.35">
      <c r="B51" s="17">
        <v>27</v>
      </c>
      <c r="C51" s="15">
        <v>28</v>
      </c>
      <c r="D51" s="15">
        <v>29</v>
      </c>
      <c r="E51" s="15">
        <v>30</v>
      </c>
      <c r="F51" s="15">
        <v>31</v>
      </c>
      <c r="G51" s="13"/>
      <c r="H51" s="13"/>
    </row>
    <row r="52" spans="2:8" ht="21.75" customHeight="1" x14ac:dyDescent="0.35">
      <c r="B52" s="18" t="str">
        <f>IFERROR(IF(INDEX(Schedule!$K$70:$Z$70,1,MATCH($C$2,Schedule!$K$2:$Z$2,0))&lt;&gt;"",INDEX(Schedule!$K$70:$Z$70,1,MATCH($C$2,Schedule!$K$2:$Z$2,0)),""),"")</f>
        <v>Day</v>
      </c>
      <c r="C52" s="16" t="str">
        <f>IFERROR(IF(INDEX(Schedule!$K$71:$Z$71,1,MATCH($C$2,Schedule!$K$2:$Z$2,0))&lt;&gt;"",INDEX(Schedule!$K$71:$Z$71,1,MATCH($C$2,Schedule!$K$2:$Z$2,0)),""),"")</f>
        <v/>
      </c>
      <c r="D52" s="16" t="str">
        <f>IFERROR(IF(INDEX(Schedule!$K$72:$Z$72,1,MATCH($C$2,Schedule!$K$2:$Z$2,0))&lt;&gt;"",INDEX(Schedule!$K$72:$Z$72,1,MATCH($C$2,Schedule!$K$2:$Z$2,0)),""),"")</f>
        <v/>
      </c>
      <c r="E52" s="16" t="str">
        <f>IFERROR(IF(INDEX(Schedule!$K$73:$Z$73,1,MATCH($C$2,Schedule!$K$2:$Z$2,0))&lt;&gt;"",INDEX(Schedule!$K$73:$Z$73,1,MATCH($C$2,Schedule!$K$2:$Z$2,0)),""),"")</f>
        <v>Night</v>
      </c>
      <c r="F52" s="16" t="str">
        <f>IFERROR(IF(INDEX(Schedule!$K$74:$Z$74,1,MATCH($C$2,Schedule!$K$2:$Z$2,0))&lt;&gt;"",INDEX(Schedule!$K$74:$Z$74,1,MATCH($C$2,Schedule!$K$2:$Z$2,0)),""),"")</f>
        <v>Night</v>
      </c>
      <c r="G52" s="14"/>
      <c r="H52" s="14"/>
    </row>
    <row r="53" spans="2:8" ht="7.5" customHeight="1" x14ac:dyDescent="0.35"/>
    <row r="54" spans="2:8" ht="19.5" customHeight="1" x14ac:dyDescent="0.35">
      <c r="B54" s="48" t="s">
        <v>36</v>
      </c>
      <c r="C54" s="48"/>
      <c r="D54" s="48"/>
      <c r="E54" s="48"/>
      <c r="F54" s="48"/>
      <c r="G54" s="48"/>
      <c r="H54" s="48"/>
    </row>
    <row r="55" spans="2:8" ht="15.75" customHeight="1" x14ac:dyDescent="0.35">
      <c r="B55" s="12" t="s">
        <v>27</v>
      </c>
      <c r="C55" s="12" t="s">
        <v>28</v>
      </c>
      <c r="D55" s="12" t="s">
        <v>29</v>
      </c>
      <c r="E55" s="12" t="s">
        <v>30</v>
      </c>
      <c r="F55" s="12" t="s">
        <v>31</v>
      </c>
      <c r="G55" s="12" t="s">
        <v>32</v>
      </c>
      <c r="H55" s="12" t="s">
        <v>33</v>
      </c>
    </row>
    <row r="56" spans="2:8" ht="12.75" customHeight="1" x14ac:dyDescent="0.35">
      <c r="B56" s="13"/>
      <c r="C56" s="13"/>
      <c r="D56" s="13"/>
      <c r="E56" s="13"/>
      <c r="F56" s="13"/>
      <c r="G56" s="15">
        <v>1</v>
      </c>
      <c r="H56" s="17">
        <v>2</v>
      </c>
    </row>
    <row r="57" spans="2:8" ht="21.75" customHeight="1" x14ac:dyDescent="0.35">
      <c r="B57" s="14"/>
      <c r="C57" s="14"/>
      <c r="D57" s="14"/>
      <c r="E57" s="14"/>
      <c r="F57" s="14"/>
      <c r="G57" s="16" t="str">
        <f>IFERROR(IF(INDEX(Schedule!$K$75:$Z$75,1,MATCH($C$2,Schedule!$K$2:$Z$2,0))&lt;&gt;"",INDEX(Schedule!$K$75:$Z$75,1,MATCH($C$2,Schedule!$K$2:$Z$2,0)),""),"")</f>
        <v>Night</v>
      </c>
      <c r="H57" s="18" t="str">
        <f>IFERROR(IF(INDEX(Schedule!$K$76:$Z$76,1,MATCH($C$2,Schedule!$K$2:$Z$2,0))&lt;&gt;"",INDEX(Schedule!$K$76:$Z$76,1,MATCH($C$2,Schedule!$K$2:$Z$2,0)),""),"")</f>
        <v/>
      </c>
    </row>
    <row r="58" spans="2:8" ht="12.75" customHeight="1" x14ac:dyDescent="0.35">
      <c r="B58" s="17">
        <v>3</v>
      </c>
      <c r="C58" s="15">
        <v>4</v>
      </c>
      <c r="D58" s="15">
        <v>5</v>
      </c>
      <c r="E58" s="15">
        <v>6</v>
      </c>
      <c r="F58" s="15">
        <v>7</v>
      </c>
      <c r="G58" s="15">
        <v>8</v>
      </c>
      <c r="H58" s="17">
        <v>9</v>
      </c>
    </row>
    <row r="59" spans="2:8" ht="21.75" customHeight="1" x14ac:dyDescent="0.35">
      <c r="B59" s="18" t="str">
        <f>IFERROR(IF(INDEX(Schedule!$K$77:$Z$77,1,MATCH($C$2,Schedule!$K$2:$Z$2,0))&lt;&gt;"",INDEX(Schedule!$K$77:$Z$77,1,MATCH($C$2,Schedule!$K$2:$Z$2,0)),""),"")</f>
        <v/>
      </c>
      <c r="C59" s="16" t="str">
        <f>IFERROR(IF(INDEX(Schedule!$K$79:$Z$79,1,MATCH($C$2,Schedule!$K$2:$Z$2,0))&lt;&gt;"",INDEX(Schedule!$K$79:$Z$79,1,MATCH($C$2,Schedule!$K$2:$Z$2,0)),""),"")</f>
        <v>Day</v>
      </c>
      <c r="D59" s="16" t="str">
        <f>IFERROR(IF(INDEX(Schedule!$K$80:$Z$80,1,MATCH($C$2,Schedule!$K$2:$Z$2,0))&lt;&gt;"",INDEX(Schedule!$K$80:$Z$80,1,MATCH($C$2,Schedule!$K$2:$Z$2,0)),""),"")</f>
        <v>Day</v>
      </c>
      <c r="E59" s="16" t="str">
        <f>IFERROR(IF(INDEX(Schedule!$K$81:$Z$81,1,MATCH($C$2,Schedule!$K$2:$Z$2,0))&lt;&gt;"",INDEX(Schedule!$K$81:$Z$81,1,MATCH($C$2,Schedule!$K$2:$Z$2,0)),""),"")</f>
        <v/>
      </c>
      <c r="F59" s="16" t="str">
        <f>IFERROR(IF(INDEX(Schedule!$K$82:$Z$82,1,MATCH($C$2,Schedule!$K$2:$Z$2,0))&lt;&gt;"",INDEX(Schedule!$K$82:$Z$82,1,MATCH($C$2,Schedule!$K$2:$Z$2,0)),""),"")</f>
        <v/>
      </c>
      <c r="G59" s="16" t="str">
        <f>IFERROR(IF(INDEX(Schedule!$K$83:$Z$83,1,MATCH($C$2,Schedule!$K$2:$Z$2,0))&lt;&gt;"",INDEX(Schedule!$K$83:$Z$83,1,MATCH($C$2,Schedule!$K$2:$Z$2,0)),""),"")</f>
        <v>Day</v>
      </c>
      <c r="H59" s="18" t="str">
        <f>IFERROR(IF(INDEX(Schedule!$K$84:$Z$84,1,MATCH($C$2,Schedule!$K$2:$Z$2,0))&lt;&gt;"",INDEX(Schedule!$K$84:$Z$84,1,MATCH($C$2,Schedule!$K$2:$Z$2,0)),""),"")</f>
        <v/>
      </c>
    </row>
    <row r="60" spans="2:8" ht="12.75" customHeight="1" x14ac:dyDescent="0.35">
      <c r="B60" s="17">
        <v>10</v>
      </c>
      <c r="C60" s="15">
        <v>11</v>
      </c>
      <c r="D60" s="15">
        <v>12</v>
      </c>
      <c r="E60" s="15">
        <v>13</v>
      </c>
      <c r="F60" s="15">
        <v>14</v>
      </c>
      <c r="G60" s="15">
        <v>15</v>
      </c>
      <c r="H60" s="17">
        <v>16</v>
      </c>
    </row>
    <row r="61" spans="2:8" ht="21.75" customHeight="1" x14ac:dyDescent="0.35">
      <c r="B61" s="18" t="str">
        <f>IFERROR(IF(INDEX(Schedule!$K$85:$Z$85,1,MATCH($C$2,Schedule!$K$2:$Z$2,0))&lt;&gt;"",INDEX(Schedule!$K$85:$Z$85,1,MATCH($C$2,Schedule!$K$2:$Z$2,0)),""),"")</f>
        <v/>
      </c>
      <c r="C61" s="16" t="str">
        <f>IFERROR(IF(INDEX(Schedule!$K$86:$Z$86,1,MATCH($C$2,Schedule!$K$2:$Z$2,0))&lt;&gt;"",INDEX(Schedule!$K$86:$Z$86,1,MATCH($C$2,Schedule!$K$2:$Z$2,0)),""),"")</f>
        <v/>
      </c>
      <c r="D61" s="16" t="str">
        <f>IFERROR(IF(INDEX(Schedule!$K$87:$Z$87,1,MATCH($C$2,Schedule!$K$2:$Z$2,0))&lt;&gt;"",INDEX(Schedule!$K$87:$Z$87,1,MATCH($C$2,Schedule!$K$2:$Z$2,0)),""),"")</f>
        <v/>
      </c>
      <c r="E61" s="16" t="str">
        <f>IFERROR(IF(INDEX(Schedule!$K$88:$Z$88,1,MATCH($C$2,Schedule!$K$2:$Z$2,0))&lt;&gt;"",INDEX(Schedule!$K$88:$Z$88,1,MATCH($C$2,Schedule!$K$2:$Z$2,0)),""),"")</f>
        <v>Day</v>
      </c>
      <c r="F61" s="16" t="str">
        <f>IFERROR(IF(INDEX(Schedule!$K$89:$Z$89,1,MATCH($C$2,Schedule!$K$2:$Z$2,0))&lt;&gt;"",INDEX(Schedule!$K$89:$Z$89,1,MATCH($C$2,Schedule!$K$2:$Z$2,0)),""),"")</f>
        <v/>
      </c>
      <c r="G61" s="16" t="str">
        <f>IFERROR(IF(INDEX(Schedule!$K$90:$Z$90,1,MATCH($C$2,Schedule!$K$2:$Z$2,0))&lt;&gt;"",INDEX(Schedule!$K$90:$Z$90,1,MATCH($C$2,Schedule!$K$2:$Z$2,0)),""),"")</f>
        <v>Day</v>
      </c>
      <c r="H61" s="18" t="str">
        <f>IFERROR(IF(INDEX(Schedule!$K$91:$Z$91,1,MATCH($C$2,Schedule!$K$2:$Z$2,0))&lt;&gt;"",INDEX(Schedule!$K$91:$Z$91,1,MATCH($C$2,Schedule!$K$2:$Z$2,0)),""),"")</f>
        <v/>
      </c>
    </row>
    <row r="62" spans="2:8" ht="12.75" customHeight="1" x14ac:dyDescent="0.35">
      <c r="B62" s="17">
        <v>17</v>
      </c>
      <c r="C62" s="15">
        <v>18</v>
      </c>
      <c r="D62" s="15">
        <v>19</v>
      </c>
      <c r="E62" s="15">
        <v>20</v>
      </c>
      <c r="F62" s="15">
        <v>21</v>
      </c>
      <c r="G62" s="15">
        <v>22</v>
      </c>
      <c r="H62" s="17">
        <v>23</v>
      </c>
    </row>
    <row r="63" spans="2:8" ht="21.75" customHeight="1" x14ac:dyDescent="0.35">
      <c r="B63" s="18" t="str">
        <f>IFERROR(IF(INDEX(Schedule!$K$92:$Z$92,1,MATCH($C$2,Schedule!$K$2:$Z$2,0))&lt;&gt;"",INDEX(Schedule!$K$92:$Z$92,1,MATCH($C$2,Schedule!$K$2:$Z$2,0)),""),"")</f>
        <v>Day</v>
      </c>
      <c r="C63" s="16" t="str">
        <f>IFERROR(IF(INDEX(Schedule!$K$94:$Z$94,1,MATCH($C$2,Schedule!$K$2:$Z$2,0))&lt;&gt;"",INDEX(Schedule!$K$94:$Z$94,1,MATCH($C$2,Schedule!$K$2:$Z$2,0)),""),"")</f>
        <v/>
      </c>
      <c r="D63" s="16" t="str">
        <f>IFERROR(IF(INDEX(Schedule!$K$95:$Z$95,1,MATCH($C$2,Schedule!$K$2:$Z$2,0))&lt;&gt;"",INDEX(Schedule!$K$95:$Z$95,1,MATCH($C$2,Schedule!$K$2:$Z$2,0)),""),"")</f>
        <v/>
      </c>
      <c r="E63" s="16" t="str">
        <f>IFERROR(IF(INDEX(Schedule!$K$96:$Z$96,1,MATCH($C$2,Schedule!$K$2:$Z$2,0))&lt;&gt;"",INDEX(Schedule!$K$96:$Z$96,1,MATCH($C$2,Schedule!$K$2:$Z$2,0)),""),"")</f>
        <v/>
      </c>
      <c r="F63" s="16" t="str">
        <f>IFERROR(IF(INDEX(Schedule!$K$97:$Z$97,1,MATCH($C$2,Schedule!$K$2:$Z$2,0))&lt;&gt;"",INDEX(Schedule!$K$97:$Z$97,1,MATCH($C$2,Schedule!$K$2:$Z$2,0)),""),"")</f>
        <v>Night</v>
      </c>
      <c r="G63" s="16" t="str">
        <f>IFERROR(IF(INDEX(Schedule!$K$98:$Z$98,1,MATCH($C$2,Schedule!$K$2:$Z$2,0))&lt;&gt;"",INDEX(Schedule!$K$98:$Z$98,1,MATCH($C$2,Schedule!$K$2:$Z$2,0)),""),"")</f>
        <v>Night</v>
      </c>
      <c r="H63" s="18" t="str">
        <f>IFERROR(IF(INDEX(Schedule!$K$99:$Z$99,1,MATCH($C$2,Schedule!$K$2:$Z$2,0))&lt;&gt;"",INDEX(Schedule!$K$99:$Z$99,1,MATCH($C$2,Schedule!$K$2:$Z$2,0)),""),"")</f>
        <v/>
      </c>
    </row>
    <row r="64" spans="2:8" ht="12.75" customHeight="1" x14ac:dyDescent="0.35">
      <c r="B64" s="17">
        <v>24</v>
      </c>
      <c r="C64" s="15">
        <v>25</v>
      </c>
      <c r="D64" s="15">
        <v>26</v>
      </c>
      <c r="E64" s="15">
        <v>27</v>
      </c>
      <c r="F64" s="15">
        <v>28</v>
      </c>
      <c r="G64" s="15">
        <v>29</v>
      </c>
      <c r="H64" s="17">
        <v>30</v>
      </c>
    </row>
    <row r="65" spans="2:8" ht="21.75" customHeight="1" x14ac:dyDescent="0.35">
      <c r="B65" s="18" t="str">
        <f>IFERROR(IF(INDEX(Schedule!$K$100:$Z$100,1,MATCH($C$2,Schedule!$K$2:$Z$2,0))&lt;&gt;"",INDEX(Schedule!$K$100:$Z$100,1,MATCH($C$2,Schedule!$K$2:$Z$2,0)),""),"")</f>
        <v/>
      </c>
      <c r="C65" s="16" t="str">
        <f>IFERROR(IF(INDEX(Schedule!$K$101:$Z$101,1,MATCH($C$2,Schedule!$K$2:$Z$2,0))&lt;&gt;"",INDEX(Schedule!$K$101:$Z$101,1,MATCH($C$2,Schedule!$K$2:$Z$2,0)),""),"")</f>
        <v/>
      </c>
      <c r="D65" s="16" t="str">
        <f>IFERROR(IF(INDEX(Schedule!$K$102:$Z$102,1,MATCH($C$2,Schedule!$K$2:$Z$2,0))&lt;&gt;"",INDEX(Schedule!$K$102:$Z$102,1,MATCH($C$2,Schedule!$K$2:$Z$2,0)),""),"")</f>
        <v>Day</v>
      </c>
      <c r="E65" s="16" t="str">
        <f>IFERROR(IF(INDEX(Schedule!$K$103:$Z$103,1,MATCH($C$2,Schedule!$K$2:$Z$2,0))&lt;&gt;"",INDEX(Schedule!$K$103:$Z$103,1,MATCH($C$2,Schedule!$K$2:$Z$2,0)),""),"")</f>
        <v>Day</v>
      </c>
      <c r="F65" s="16" t="str">
        <f>IFERROR(IF(INDEX(Schedule!$K$104:$Z$104,1,MATCH($C$2,Schedule!$K$2:$Z$2,0))&lt;&gt;"",INDEX(Schedule!$K$104:$Z$104,1,MATCH($C$2,Schedule!$K$2:$Z$2,0)),""),"")</f>
        <v>Day</v>
      </c>
      <c r="G65" s="16" t="str">
        <f>IFERROR(IF(INDEX(Schedule!$K$105:$Z$105,1,MATCH($C$2,Schedule!$K$2:$Z$2,0))&lt;&gt;"",INDEX(Schedule!$K$105:$Z$105,1,MATCH($C$2,Schedule!$K$2:$Z$2,0)),""),"")</f>
        <v>OFF</v>
      </c>
      <c r="H65" s="18" t="str">
        <f>IFERROR(IF(INDEX(Schedule!$K$106:$Z$106,1,MATCH($C$2,Schedule!$K$2:$Z$2,0))&lt;&gt;"",INDEX(Schedule!$K$106:$Z$106,1,MATCH($C$2,Schedule!$K$2:$Z$2,0)),""),"")</f>
        <v>OFF</v>
      </c>
    </row>
    <row r="66" spans="2:8" ht="12.75" customHeight="1" x14ac:dyDescent="0.35">
      <c r="B66" s="17">
        <v>31</v>
      </c>
      <c r="C66" s="13"/>
      <c r="D66" s="13"/>
      <c r="E66" s="13"/>
      <c r="F66" s="13"/>
      <c r="G66" s="13"/>
      <c r="H66" s="13"/>
    </row>
    <row r="67" spans="2:8" ht="21.75" customHeight="1" x14ac:dyDescent="0.35">
      <c r="B67" s="18" t="str">
        <f>IFERROR(IF(INDEX(Schedule!$K$107:$Z$107,1,MATCH($C$2,Schedule!$K$2:$Z$2,0))&lt;&gt;"",INDEX(Schedule!$K$107:$Z$107,1,MATCH($C$2,Schedule!$K$2:$Z$2,0)),""),"")</f>
        <v>OFF</v>
      </c>
      <c r="C67" s="14"/>
      <c r="D67" s="14"/>
      <c r="E67" s="14"/>
      <c r="F67" s="14"/>
      <c r="G67" s="14"/>
      <c r="H67" s="14"/>
    </row>
    <row r="68" spans="2:8" ht="7.5" customHeight="1" x14ac:dyDescent="0.35"/>
    <row r="69" spans="2:8" ht="13.5" customHeight="1" x14ac:dyDescent="0.35">
      <c r="B69" s="49" t="s">
        <v>37</v>
      </c>
      <c r="C69" s="49"/>
      <c r="D69" s="49"/>
      <c r="E69" s="49"/>
      <c r="F69" s="49"/>
      <c r="G69" s="49"/>
      <c r="H69" s="49"/>
    </row>
    <row r="70" spans="2:8" ht="13.5" customHeight="1" x14ac:dyDescent="0.35">
      <c r="B70" s="49" t="s">
        <v>38</v>
      </c>
      <c r="C70" s="49"/>
      <c r="D70" s="49"/>
      <c r="E70" s="49"/>
      <c r="F70" s="49"/>
      <c r="G70" s="49"/>
      <c r="H70" s="49"/>
    </row>
    <row r="71" spans="2:8" ht="15.75" customHeight="1" x14ac:dyDescent="0.35">
      <c r="B71" s="49" t="s">
        <v>39</v>
      </c>
      <c r="C71" s="49"/>
      <c r="D71" s="49"/>
      <c r="E71" s="49"/>
      <c r="F71" s="49"/>
      <c r="G71" s="49"/>
      <c r="H71" s="49"/>
    </row>
  </sheetData>
  <mergeCells count="10">
    <mergeCell ref="B41:H41"/>
    <mergeCell ref="B54:H54"/>
    <mergeCell ref="B69:H69"/>
    <mergeCell ref="B70:H70"/>
    <mergeCell ref="B71:H71"/>
    <mergeCell ref="B1:H1"/>
    <mergeCell ref="C2:E2"/>
    <mergeCell ref="B4:H4"/>
    <mergeCell ref="B15:H15"/>
    <mergeCell ref="B28:H28"/>
  </mergeCells>
  <conditionalFormatting sqref="B15:H71">
    <cfRule type="containsText" dxfId="438" priority="1" operator="containsText" text="Yellow">
      <formula>NOT(ISERROR(SEARCH("Yellow", B15)))</formula>
    </cfRule>
    <cfRule type="containsText" dxfId="437" priority="2" operator="containsText" text="PTO">
      <formula>NOT(ISERROR(SEARCH("PTO", B15)))</formula>
    </cfRule>
    <cfRule type="containsText" dxfId="436" priority="3" operator="containsText" text="CME">
      <formula>NOT(ISERROR(SEARCH("CME", B15)))</formula>
    </cfRule>
    <cfRule type="containsText" dxfId="435" priority="4" operator="containsText" text="OFF">
      <formula>NOT(ISERROR(SEARCH("OFF", B15)))</formula>
    </cfRule>
    <cfRule type="containsText" dxfId="434" priority="5" operator="containsText" text="FC3">
      <formula>NOT(ISERROR(SEARCH("FC3", B15)))</formula>
    </cfRule>
    <cfRule type="containsText" dxfId="433" priority="6" operator="containsText" text="Night">
      <formula>NOT(ISERROR(SEARCH("Night", B15)))</formula>
    </cfRule>
    <cfRule type="containsText" dxfId="432" priority="7" operator="containsText" text="Day">
      <formula>NOT(ISERROR(SEARCH("Day", B15)))</formula>
    </cfRule>
  </conditionalFormatting>
  <conditionalFormatting sqref="F6:F12">
    <cfRule type="expression" dxfId="347" priority="400">
      <formula>F6&gt;0</formula>
    </cfRule>
  </conditionalFormatting>
  <dataValidations count="1">
    <dataValidation type="list" allowBlank="1" showInputMessage="1" showErrorMessage="1" sqref="C2" xr:uid="{00000000-0002-0000-0000-000000000000}">
      <formula1>"Katie,Hayden,John,Maureen,Mandie,Caroline,Kristin,Radha,Jamie,Todd,Matt,Jen,Kennedy,Preet,Rose,Katia"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2" id="{00000000-000E-0000-0000-000074010000}">
            <xm:f>COUNTA(Schedule!$D$10:$G$10)&lt;4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73" id="{00000000-000E-0000-0000-000075010000}">
            <xm:f>Schedule!$G$10=""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B30:B31</xm:sqref>
        </x14:conditionalFormatting>
        <x14:conditionalFormatting xmlns:xm="http://schemas.microsoft.com/office/excel/2006/main">
          <x14:cfRule type="expression" priority="344" id="{00000000-000E-0000-0000-000058010000}">
            <xm:f>COUNTA(Schedule!$D$17:$G$17)&lt;4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45" id="{00000000-000E-0000-0000-000059010000}">
            <xm:f>Schedule!$G$17=""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B32:B33</xm:sqref>
        </x14:conditionalFormatting>
        <x14:conditionalFormatting xmlns:xm="http://schemas.microsoft.com/office/excel/2006/main">
          <x14:cfRule type="expression" priority="316" id="{00000000-000E-0000-0000-00003C010000}">
            <xm:f>COUNTA(Schedule!$D$25:$G$25)&lt;4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17" id="{00000000-000E-0000-0000-00003D010000}">
            <xm:f>Schedule!$G$25=""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B34:B35</xm:sqref>
        </x14:conditionalFormatting>
        <x14:conditionalFormatting xmlns:xm="http://schemas.microsoft.com/office/excel/2006/main">
          <x14:cfRule type="expression" priority="288" id="{00000000-000E-0000-0000-000020010000}">
            <xm:f>COUNTA(Schedule!$D$32:$G$32)&lt;4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89" id="{00000000-000E-0000-0000-000021010000}">
            <xm:f>Schedule!$G$32=""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B36:B37</xm:sqref>
        </x14:conditionalFormatting>
        <x14:conditionalFormatting xmlns:xm="http://schemas.microsoft.com/office/excel/2006/main">
          <x14:cfRule type="expression" priority="260" id="{00000000-000E-0000-0000-000004010000}">
            <xm:f>COUNTA(Schedule!$D$40:$G$40)&lt;4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61" id="{00000000-000E-0000-0000-000005010000}">
            <xm:f>Schedule!$G$40=""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B38:B39</xm:sqref>
        </x14:conditionalFormatting>
        <x14:conditionalFormatting xmlns:xm="http://schemas.microsoft.com/office/excel/2006/main">
          <x14:cfRule type="expression" priority="232" id="{00000000-000E-0000-0000-0000E8000000}">
            <xm:f>COUNTA(Schedule!$D$47:$G$47)&lt;4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33" id="{00000000-000E-0000-0000-0000E9000000}">
            <xm:f>Schedule!$G$47=""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B45:B46</xm:sqref>
        </x14:conditionalFormatting>
        <x14:conditionalFormatting xmlns:xm="http://schemas.microsoft.com/office/excel/2006/main">
          <x14:cfRule type="expression" priority="204" id="{00000000-000E-0000-0000-0000CC000000}">
            <xm:f>COUNTA(Schedule!$D$55:$G$55)&lt;4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05" id="{00000000-000E-0000-0000-0000CD000000}">
            <xm:f>Schedule!$G$55=""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B47:B48</xm:sqref>
        </x14:conditionalFormatting>
        <x14:conditionalFormatting xmlns:xm="http://schemas.microsoft.com/office/excel/2006/main">
          <x14:cfRule type="expression" priority="176" id="{00000000-000E-0000-0000-0000B0000000}">
            <xm:f>COUNTA(Schedule!$D$62:$G$62)&lt;4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77" id="{00000000-000E-0000-0000-0000B1000000}">
            <xm:f>Schedule!$G$62=""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B49:B50</xm:sqref>
        </x14:conditionalFormatting>
        <x14:conditionalFormatting xmlns:xm="http://schemas.microsoft.com/office/excel/2006/main">
          <x14:cfRule type="expression" priority="148" id="{00000000-000E-0000-0000-000094000000}">
            <xm:f>COUNTA(Schedule!$D$70:$G$70)&lt;4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49" id="{00000000-000E-0000-0000-000095000000}">
            <xm:f>Schedule!$G$70=""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B51:B52</xm:sqref>
        </x14:conditionalFormatting>
        <x14:conditionalFormatting xmlns:xm="http://schemas.microsoft.com/office/excel/2006/main">
          <x14:cfRule type="expression" priority="120" id="{00000000-000E-0000-0000-000078000000}">
            <xm:f>COUNTA(Schedule!$D$77:$G$77)&lt;4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21" id="{00000000-000E-0000-0000-000079000000}">
            <xm:f>Schedule!$G$77=""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B58:B59</xm:sqref>
        </x14:conditionalFormatting>
        <x14:conditionalFormatting xmlns:xm="http://schemas.microsoft.com/office/excel/2006/main">
          <x14:cfRule type="expression" priority="92" id="{00000000-000E-0000-0000-00005C000000}">
            <xm:f>COUNTA(Schedule!$D$85:$G$85)&lt;4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93" id="{00000000-000E-0000-0000-00005D000000}">
            <xm:f>Schedule!$G$85=""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B60:B61</xm:sqref>
        </x14:conditionalFormatting>
        <x14:conditionalFormatting xmlns:xm="http://schemas.microsoft.com/office/excel/2006/main">
          <x14:cfRule type="expression" priority="64" id="{00000000-000E-0000-0000-000040000000}">
            <xm:f>COUNTA(Schedule!$D$92:$G$92)&lt;4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65" id="{00000000-000E-0000-0000-000041000000}">
            <xm:f>Schedule!$G$92=""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B62:B63</xm:sqref>
        </x14:conditionalFormatting>
        <x14:conditionalFormatting xmlns:xm="http://schemas.microsoft.com/office/excel/2006/main">
          <x14:cfRule type="expression" priority="36" id="{00000000-000E-0000-0000-000024000000}">
            <xm:f>COUNTA(Schedule!$D$100:$G$100)&lt;4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7" id="{00000000-000E-0000-0000-000025000000}">
            <xm:f>Schedule!$G$100=""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B64:B65</xm:sqref>
        </x14:conditionalFormatting>
        <x14:conditionalFormatting xmlns:xm="http://schemas.microsoft.com/office/excel/2006/main">
          <x14:cfRule type="expression" priority="8" id="{00000000-000E-0000-0000-000008000000}">
            <xm:f>COUNTA(Schedule!$D$107:$G$107)&lt;4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9" id="{00000000-000E-0000-0000-000009000000}">
            <xm:f>Schedule!$G$107=""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B66:B67</xm:sqref>
        </x14:conditionalFormatting>
        <x14:conditionalFormatting xmlns:xm="http://schemas.microsoft.com/office/excel/2006/main">
          <x14:cfRule type="expression" priority="396" id="{00000000-000E-0000-0000-00008C010000}">
            <xm:f>COUNTA(Schedule!$D$4:$G$4)&lt;4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97" id="{00000000-000E-0000-0000-00008D010000}">
            <xm:f>Schedule!$G$4=""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C25:C26</xm:sqref>
        </x14:conditionalFormatting>
        <x14:conditionalFormatting xmlns:xm="http://schemas.microsoft.com/office/excel/2006/main">
          <x14:cfRule type="expression" priority="368" id="{00000000-000E-0000-0000-000070010000}">
            <xm:f>COUNTA(Schedule!$D$11:$G$11)&lt;4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69" id="{00000000-000E-0000-0000-000071010000}">
            <xm:f>Schedule!$G$11=""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C30:C31</xm:sqref>
        </x14:conditionalFormatting>
        <x14:conditionalFormatting xmlns:xm="http://schemas.microsoft.com/office/excel/2006/main">
          <x14:cfRule type="expression" priority="340" id="{00000000-000E-0000-0000-000054010000}">
            <xm:f>COUNTA(Schedule!$D$19:$G$19)&lt;4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41" id="{00000000-000E-0000-0000-000055010000}">
            <xm:f>Schedule!$G$19=""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C32:C33</xm:sqref>
        </x14:conditionalFormatting>
        <x14:conditionalFormatting xmlns:xm="http://schemas.microsoft.com/office/excel/2006/main">
          <x14:cfRule type="expression" priority="312" id="{00000000-000E-0000-0000-000038010000}">
            <xm:f>COUNTA(Schedule!$D$26:$G$26)&lt;4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13" id="{00000000-000E-0000-0000-000039010000}">
            <xm:f>Schedule!$G$26=""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C34:C35</xm:sqref>
        </x14:conditionalFormatting>
        <x14:conditionalFormatting xmlns:xm="http://schemas.microsoft.com/office/excel/2006/main">
          <x14:cfRule type="expression" priority="284" id="{00000000-000E-0000-0000-00001C010000}">
            <xm:f>COUNTA(Schedule!$D$34:$G$34)&lt;4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85" id="{00000000-000E-0000-0000-00001D010000}">
            <xm:f>Schedule!$G$34=""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C36:C37</xm:sqref>
        </x14:conditionalFormatting>
        <x14:conditionalFormatting xmlns:xm="http://schemas.microsoft.com/office/excel/2006/main">
          <x14:cfRule type="expression" priority="256" id="{00000000-000E-0000-0000-000000010000}">
            <xm:f>COUNTA(Schedule!$D$41:$G$41)&lt;4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57" id="{00000000-000E-0000-0000-000001010000}">
            <xm:f>Schedule!$G$41=""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C38:C39</xm:sqref>
        </x14:conditionalFormatting>
        <x14:conditionalFormatting xmlns:xm="http://schemas.microsoft.com/office/excel/2006/main">
          <x14:cfRule type="expression" priority="228" id="{00000000-000E-0000-0000-0000E4000000}">
            <xm:f>COUNTA(Schedule!$D$49:$G$49)&lt;4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29" id="{00000000-000E-0000-0000-0000E5000000}">
            <xm:f>Schedule!$G$49=""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C45:C46</xm:sqref>
        </x14:conditionalFormatting>
        <x14:conditionalFormatting xmlns:xm="http://schemas.microsoft.com/office/excel/2006/main">
          <x14:cfRule type="expression" priority="200" id="{00000000-000E-0000-0000-0000C8000000}">
            <xm:f>COUNTA(Schedule!$D$56:$G$56)&lt;4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01" id="{00000000-000E-0000-0000-0000C9000000}">
            <xm:f>Schedule!$G$56=""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C47:C48</xm:sqref>
        </x14:conditionalFormatting>
        <x14:conditionalFormatting xmlns:xm="http://schemas.microsoft.com/office/excel/2006/main">
          <x14:cfRule type="expression" priority="172" id="{00000000-000E-0000-0000-0000AC000000}">
            <xm:f>COUNTA(Schedule!$D$64:$G$64)&lt;4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73" id="{00000000-000E-0000-0000-0000AD000000}">
            <xm:f>Schedule!$G$64=""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C49:C50</xm:sqref>
        </x14:conditionalFormatting>
        <x14:conditionalFormatting xmlns:xm="http://schemas.microsoft.com/office/excel/2006/main">
          <x14:cfRule type="expression" priority="144" id="{00000000-000E-0000-0000-000090000000}">
            <xm:f>COUNTA(Schedule!$D$71:$G$71)&lt;4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45" id="{00000000-000E-0000-0000-000091000000}">
            <xm:f>Schedule!$G$71=""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C51:C52</xm:sqref>
        </x14:conditionalFormatting>
        <x14:conditionalFormatting xmlns:xm="http://schemas.microsoft.com/office/excel/2006/main">
          <x14:cfRule type="expression" priority="116" id="{00000000-000E-0000-0000-000074000000}">
            <xm:f>COUNTA(Schedule!$D$79:$G$79)&lt;4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17" id="{00000000-000E-0000-0000-000075000000}">
            <xm:f>Schedule!$G$79=""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C58:C59</xm:sqref>
        </x14:conditionalFormatting>
        <x14:conditionalFormatting xmlns:xm="http://schemas.microsoft.com/office/excel/2006/main">
          <x14:cfRule type="expression" priority="88" id="{00000000-000E-0000-0000-000058000000}">
            <xm:f>COUNTA(Schedule!$D$86:$G$86)&lt;4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89" id="{00000000-000E-0000-0000-000059000000}">
            <xm:f>Schedule!$G$86=""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C60:C61</xm:sqref>
        </x14:conditionalFormatting>
        <x14:conditionalFormatting xmlns:xm="http://schemas.microsoft.com/office/excel/2006/main">
          <x14:cfRule type="expression" priority="60" id="{00000000-000E-0000-0000-00003C000000}">
            <xm:f>COUNTA(Schedule!$D$94:$G$94)&lt;4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61" id="{00000000-000E-0000-0000-00003D000000}">
            <xm:f>Schedule!$G$94=""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C62:C63</xm:sqref>
        </x14:conditionalFormatting>
        <x14:conditionalFormatting xmlns:xm="http://schemas.microsoft.com/office/excel/2006/main">
          <x14:cfRule type="expression" priority="32" id="{00000000-000E-0000-0000-000020000000}">
            <xm:f>COUNTA(Schedule!$D$101:$G$101)&lt;4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3" id="{00000000-000E-0000-0000-000021000000}">
            <xm:f>Schedule!$G$101=""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C64:C65</xm:sqref>
        </x14:conditionalFormatting>
        <x14:conditionalFormatting xmlns:xm="http://schemas.microsoft.com/office/excel/2006/main">
          <x14:cfRule type="expression" priority="392" id="{00000000-000E-0000-0000-000088010000}">
            <xm:f>COUNTA(Schedule!$D$5:$G$5)&lt;4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93" id="{00000000-000E-0000-0000-000089010000}">
            <xm:f>Schedule!$G$5=""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D25:D26</xm:sqref>
        </x14:conditionalFormatting>
        <x14:conditionalFormatting xmlns:xm="http://schemas.microsoft.com/office/excel/2006/main">
          <x14:cfRule type="expression" priority="364" id="{00000000-000E-0000-0000-00006C010000}">
            <xm:f>COUNTA(Schedule!$D$12:$G$12)&lt;4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65" id="{00000000-000E-0000-0000-00006D010000}">
            <xm:f>Schedule!$G$12=""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D30:D31</xm:sqref>
        </x14:conditionalFormatting>
        <x14:conditionalFormatting xmlns:xm="http://schemas.microsoft.com/office/excel/2006/main">
          <x14:cfRule type="expression" priority="336" id="{00000000-000E-0000-0000-000050010000}">
            <xm:f>COUNTA(Schedule!$D$20:$G$20)&lt;4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37" id="{00000000-000E-0000-0000-000051010000}">
            <xm:f>Schedule!$G$20=""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D32:D33</xm:sqref>
        </x14:conditionalFormatting>
        <x14:conditionalFormatting xmlns:xm="http://schemas.microsoft.com/office/excel/2006/main">
          <x14:cfRule type="expression" priority="308" id="{00000000-000E-0000-0000-000034010000}">
            <xm:f>COUNTA(Schedule!$D$27:$G$27)&lt;4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09" id="{00000000-000E-0000-0000-000035010000}">
            <xm:f>Schedule!$G$27=""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D34:D35</xm:sqref>
        </x14:conditionalFormatting>
        <x14:conditionalFormatting xmlns:xm="http://schemas.microsoft.com/office/excel/2006/main">
          <x14:cfRule type="expression" priority="280" id="{00000000-000E-0000-0000-000018010000}">
            <xm:f>COUNTA(Schedule!$D$35:$G$35)&lt;4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81" id="{00000000-000E-0000-0000-000019010000}">
            <xm:f>Schedule!$G$35=""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D36:D37</xm:sqref>
        </x14:conditionalFormatting>
        <x14:conditionalFormatting xmlns:xm="http://schemas.microsoft.com/office/excel/2006/main">
          <x14:cfRule type="expression" priority="252" id="{00000000-000E-0000-0000-0000FC000000}">
            <xm:f>COUNTA(Schedule!$D$42:$G$42)&lt;4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53" id="{00000000-000E-0000-0000-0000FD000000}">
            <xm:f>Schedule!$G$42=""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D43:D44</xm:sqref>
        </x14:conditionalFormatting>
        <x14:conditionalFormatting xmlns:xm="http://schemas.microsoft.com/office/excel/2006/main">
          <x14:cfRule type="expression" priority="224" id="{00000000-000E-0000-0000-0000E0000000}">
            <xm:f>COUNTA(Schedule!$D$50:$G$50)&lt;4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25" id="{00000000-000E-0000-0000-0000E1000000}">
            <xm:f>Schedule!$G$50=""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D45:D46</xm:sqref>
        </x14:conditionalFormatting>
        <x14:conditionalFormatting xmlns:xm="http://schemas.microsoft.com/office/excel/2006/main">
          <x14:cfRule type="expression" priority="196" id="{00000000-000E-0000-0000-0000C4000000}">
            <xm:f>COUNTA(Schedule!$D$57:$G$57)&lt;4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97" id="{00000000-000E-0000-0000-0000C5000000}">
            <xm:f>Schedule!$G$57=""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D47:D48</xm:sqref>
        </x14:conditionalFormatting>
        <x14:conditionalFormatting xmlns:xm="http://schemas.microsoft.com/office/excel/2006/main">
          <x14:cfRule type="expression" priority="168" id="{00000000-000E-0000-0000-0000A8000000}">
            <xm:f>COUNTA(Schedule!$D$65:$G$65)&lt;4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69" id="{00000000-000E-0000-0000-0000A9000000}">
            <xm:f>Schedule!$G$65=""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D49:D50</xm:sqref>
        </x14:conditionalFormatting>
        <x14:conditionalFormatting xmlns:xm="http://schemas.microsoft.com/office/excel/2006/main">
          <x14:cfRule type="expression" priority="140" id="{00000000-000E-0000-0000-00008C000000}">
            <xm:f>COUNTA(Schedule!$D$72:$G$72)&lt;4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41" id="{00000000-000E-0000-0000-00008D000000}">
            <xm:f>Schedule!$G$72=""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D51:D52</xm:sqref>
        </x14:conditionalFormatting>
        <x14:conditionalFormatting xmlns:xm="http://schemas.microsoft.com/office/excel/2006/main">
          <x14:cfRule type="expression" priority="112" id="{00000000-000E-0000-0000-000070000000}">
            <xm:f>COUNTA(Schedule!$D$80:$G$80)&lt;4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13" id="{00000000-000E-0000-0000-000071000000}">
            <xm:f>Schedule!$G$80=""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D58:D59</xm:sqref>
        </x14:conditionalFormatting>
        <x14:conditionalFormatting xmlns:xm="http://schemas.microsoft.com/office/excel/2006/main">
          <x14:cfRule type="expression" priority="84" id="{00000000-000E-0000-0000-000054000000}">
            <xm:f>COUNTA(Schedule!$D$87:$G$87)&lt;4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85" id="{00000000-000E-0000-0000-000055000000}">
            <xm:f>Schedule!$G$87=""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D60:D61</xm:sqref>
        </x14:conditionalFormatting>
        <x14:conditionalFormatting xmlns:xm="http://schemas.microsoft.com/office/excel/2006/main">
          <x14:cfRule type="expression" priority="56" id="{00000000-000E-0000-0000-000038000000}">
            <xm:f>COUNTA(Schedule!$D$95:$G$95)&lt;4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57" id="{00000000-000E-0000-0000-000039000000}">
            <xm:f>Schedule!$G$95=""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D62:D63</xm:sqref>
        </x14:conditionalFormatting>
        <x14:conditionalFormatting xmlns:xm="http://schemas.microsoft.com/office/excel/2006/main">
          <x14:cfRule type="expression" priority="28" id="{00000000-000E-0000-0000-00001C000000}">
            <xm:f>COUNTA(Schedule!$D$102:$G$102)&lt;4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9" id="{00000000-000E-0000-0000-00001D000000}">
            <xm:f>Schedule!$G$102=""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D64:D65</xm:sqref>
        </x14:conditionalFormatting>
        <x14:conditionalFormatting xmlns:xm="http://schemas.microsoft.com/office/excel/2006/main">
          <x14:cfRule type="expression" priority="388" id="{00000000-000E-0000-0000-000084010000}">
            <xm:f>COUNTA(Schedule!$D$6:$G$6)&lt;4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89" id="{00000000-000E-0000-0000-000085010000}">
            <xm:f>Schedule!$G$6=""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E25:E26</xm:sqref>
        </x14:conditionalFormatting>
        <x14:conditionalFormatting xmlns:xm="http://schemas.microsoft.com/office/excel/2006/main">
          <x14:cfRule type="expression" priority="360" id="{00000000-000E-0000-0000-000068010000}">
            <xm:f>COUNTA(Schedule!$D$13:$G$13)&lt;4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61" id="{00000000-000E-0000-0000-000069010000}">
            <xm:f>Schedule!$G$13=""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E30:E31</xm:sqref>
        </x14:conditionalFormatting>
        <x14:conditionalFormatting xmlns:xm="http://schemas.microsoft.com/office/excel/2006/main">
          <x14:cfRule type="expression" priority="332" id="{00000000-000E-0000-0000-00004C010000}">
            <xm:f>COUNTA(Schedule!$D$21:$G$21)&lt;4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33" id="{00000000-000E-0000-0000-00004D010000}">
            <xm:f>Schedule!$G$21=""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E32:E33</xm:sqref>
        </x14:conditionalFormatting>
        <x14:conditionalFormatting xmlns:xm="http://schemas.microsoft.com/office/excel/2006/main">
          <x14:cfRule type="expression" priority="304" id="{00000000-000E-0000-0000-000030010000}">
            <xm:f>COUNTA(Schedule!$D$28:$G$28)&lt;4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05" id="{00000000-000E-0000-0000-000031010000}">
            <xm:f>Schedule!$G$28=""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E34:E35</xm:sqref>
        </x14:conditionalFormatting>
        <x14:conditionalFormatting xmlns:xm="http://schemas.microsoft.com/office/excel/2006/main">
          <x14:cfRule type="expression" priority="276" id="{00000000-000E-0000-0000-000014010000}">
            <xm:f>COUNTA(Schedule!$D$36:$G$36)&lt;4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77" id="{00000000-000E-0000-0000-000015010000}">
            <xm:f>Schedule!$G$36=""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E36:E37</xm:sqref>
        </x14:conditionalFormatting>
        <x14:conditionalFormatting xmlns:xm="http://schemas.microsoft.com/office/excel/2006/main">
          <x14:cfRule type="expression" priority="248" id="{00000000-000E-0000-0000-0000F8000000}">
            <xm:f>COUNTA(Schedule!$D$43:$G$43)&lt;4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49" id="{00000000-000E-0000-0000-0000F9000000}">
            <xm:f>Schedule!$G$43=""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E43:E44</xm:sqref>
        </x14:conditionalFormatting>
        <x14:conditionalFormatting xmlns:xm="http://schemas.microsoft.com/office/excel/2006/main">
          <x14:cfRule type="expression" priority="220" id="{00000000-000E-0000-0000-0000DC000000}">
            <xm:f>COUNTA(Schedule!$D$51:$G$51)&lt;4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21" id="{00000000-000E-0000-0000-0000DD000000}">
            <xm:f>Schedule!$G$51=""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E45:E46</xm:sqref>
        </x14:conditionalFormatting>
        <x14:conditionalFormatting xmlns:xm="http://schemas.microsoft.com/office/excel/2006/main">
          <x14:cfRule type="expression" priority="192" id="{00000000-000E-0000-0000-0000C0000000}">
            <xm:f>COUNTA(Schedule!$D$58:$G$58)&lt;4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93" id="{00000000-000E-0000-0000-0000C1000000}">
            <xm:f>Schedule!$G$58=""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E47:E48</xm:sqref>
        </x14:conditionalFormatting>
        <x14:conditionalFormatting xmlns:xm="http://schemas.microsoft.com/office/excel/2006/main">
          <x14:cfRule type="expression" priority="164" id="{00000000-000E-0000-0000-0000A4000000}">
            <xm:f>COUNTA(Schedule!$D$66:$G$66)&lt;4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65" id="{00000000-000E-0000-0000-0000A5000000}">
            <xm:f>Schedule!$G$66=""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E49:E50</xm:sqref>
        </x14:conditionalFormatting>
        <x14:conditionalFormatting xmlns:xm="http://schemas.microsoft.com/office/excel/2006/main">
          <x14:cfRule type="expression" priority="136" id="{00000000-000E-0000-0000-000088000000}">
            <xm:f>COUNTA(Schedule!$D$73:$G$73)&lt;4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37" id="{00000000-000E-0000-0000-000089000000}">
            <xm:f>Schedule!$G$73=""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E51:E52</xm:sqref>
        </x14:conditionalFormatting>
        <x14:conditionalFormatting xmlns:xm="http://schemas.microsoft.com/office/excel/2006/main">
          <x14:cfRule type="expression" priority="108" id="{00000000-000E-0000-0000-00006C000000}">
            <xm:f>COUNTA(Schedule!$D$81:$G$81)&lt;4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09" id="{00000000-000E-0000-0000-00006D000000}">
            <xm:f>Schedule!$G$81=""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E58:E59</xm:sqref>
        </x14:conditionalFormatting>
        <x14:conditionalFormatting xmlns:xm="http://schemas.microsoft.com/office/excel/2006/main">
          <x14:cfRule type="expression" priority="80" id="{00000000-000E-0000-0000-000050000000}">
            <xm:f>COUNTA(Schedule!$D$88:$G$88)&lt;4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81" id="{00000000-000E-0000-0000-000051000000}">
            <xm:f>Schedule!$G$88=""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E60:E61</xm:sqref>
        </x14:conditionalFormatting>
        <x14:conditionalFormatting xmlns:xm="http://schemas.microsoft.com/office/excel/2006/main">
          <x14:cfRule type="expression" priority="52" id="{00000000-000E-0000-0000-000034000000}">
            <xm:f>COUNTA(Schedule!$D$96:$G$96)&lt;4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53" id="{00000000-000E-0000-0000-000035000000}">
            <xm:f>Schedule!$G$96=""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E62:E63</xm:sqref>
        </x14:conditionalFormatting>
        <x14:conditionalFormatting xmlns:xm="http://schemas.microsoft.com/office/excel/2006/main">
          <x14:cfRule type="expression" priority="24" id="{00000000-000E-0000-0000-000018000000}">
            <xm:f>COUNTA(Schedule!$D$103:$G$103)&lt;4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5" id="{00000000-000E-0000-0000-000019000000}">
            <xm:f>Schedule!$G$103=""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E64:E65</xm:sqref>
        </x14:conditionalFormatting>
        <x14:conditionalFormatting xmlns:xm="http://schemas.microsoft.com/office/excel/2006/main">
          <x14:cfRule type="expression" priority="384" id="{00000000-000E-0000-0000-000080010000}">
            <xm:f>COUNTA(Schedule!$D$7:$G$7)&lt;4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85" id="{00000000-000E-0000-0000-000081010000}">
            <xm:f>Schedule!$G$7=""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F25:F26</xm:sqref>
        </x14:conditionalFormatting>
        <x14:conditionalFormatting xmlns:xm="http://schemas.microsoft.com/office/excel/2006/main">
          <x14:cfRule type="expression" priority="356" id="{00000000-000E-0000-0000-000064010000}">
            <xm:f>COUNTA(Schedule!$D$14:$G$14)&lt;4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57" id="{00000000-000E-0000-0000-000065010000}">
            <xm:f>Schedule!$G$14=""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F30:F31</xm:sqref>
        </x14:conditionalFormatting>
        <x14:conditionalFormatting xmlns:xm="http://schemas.microsoft.com/office/excel/2006/main">
          <x14:cfRule type="expression" priority="328" id="{00000000-000E-0000-0000-000048010000}">
            <xm:f>COUNTA(Schedule!$D$22:$G$22)&lt;4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29" id="{00000000-000E-0000-0000-000049010000}">
            <xm:f>Schedule!$G$22=""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F32:F33</xm:sqref>
        </x14:conditionalFormatting>
        <x14:conditionalFormatting xmlns:xm="http://schemas.microsoft.com/office/excel/2006/main">
          <x14:cfRule type="expression" priority="300" id="{00000000-000E-0000-0000-00002C010000}">
            <xm:f>COUNTA(Schedule!$D$29:$G$29)&lt;4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01" id="{00000000-000E-0000-0000-00002D010000}">
            <xm:f>Schedule!$G$29=""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F34:F35</xm:sqref>
        </x14:conditionalFormatting>
        <x14:conditionalFormatting xmlns:xm="http://schemas.microsoft.com/office/excel/2006/main">
          <x14:cfRule type="expression" priority="272" id="{00000000-000E-0000-0000-000010010000}">
            <xm:f>COUNTA(Schedule!$D$37:$G$37)&lt;4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73" id="{00000000-000E-0000-0000-000011010000}">
            <xm:f>Schedule!$G$37=""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F36:F37</xm:sqref>
        </x14:conditionalFormatting>
        <x14:conditionalFormatting xmlns:xm="http://schemas.microsoft.com/office/excel/2006/main">
          <x14:cfRule type="expression" priority="244" id="{00000000-000E-0000-0000-0000F4000000}">
            <xm:f>COUNTA(Schedule!$D$44:$G$44)&lt;4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45" id="{00000000-000E-0000-0000-0000F5000000}">
            <xm:f>Schedule!$G$44=""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F43:F44</xm:sqref>
        </x14:conditionalFormatting>
        <x14:conditionalFormatting xmlns:xm="http://schemas.microsoft.com/office/excel/2006/main">
          <x14:cfRule type="expression" priority="216" id="{00000000-000E-0000-0000-0000D8000000}">
            <xm:f>COUNTA(Schedule!$D$52:$G$52)&lt;4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17" id="{00000000-000E-0000-0000-0000D9000000}">
            <xm:f>Schedule!$G$52=""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F45:F46</xm:sqref>
        </x14:conditionalFormatting>
        <x14:conditionalFormatting xmlns:xm="http://schemas.microsoft.com/office/excel/2006/main">
          <x14:cfRule type="expression" priority="188" id="{00000000-000E-0000-0000-0000BC000000}">
            <xm:f>COUNTA(Schedule!$D$59:$G$59)&lt;4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89" id="{00000000-000E-0000-0000-0000BD000000}">
            <xm:f>Schedule!$G$59=""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F47:F48</xm:sqref>
        </x14:conditionalFormatting>
        <x14:conditionalFormatting xmlns:xm="http://schemas.microsoft.com/office/excel/2006/main">
          <x14:cfRule type="expression" priority="160" id="{00000000-000E-0000-0000-0000A0000000}">
            <xm:f>COUNTA(Schedule!$D$67:$G$67)&lt;4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61" id="{00000000-000E-0000-0000-0000A1000000}">
            <xm:f>Schedule!$G$67=""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F49:F50</xm:sqref>
        </x14:conditionalFormatting>
        <x14:conditionalFormatting xmlns:xm="http://schemas.microsoft.com/office/excel/2006/main">
          <x14:cfRule type="expression" priority="132" id="{00000000-000E-0000-0000-000084000000}">
            <xm:f>COUNTA(Schedule!$D$74:$G$74)&lt;4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33" id="{00000000-000E-0000-0000-000085000000}">
            <xm:f>Schedule!$G$74=""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F51:F52</xm:sqref>
        </x14:conditionalFormatting>
        <x14:conditionalFormatting xmlns:xm="http://schemas.microsoft.com/office/excel/2006/main">
          <x14:cfRule type="expression" priority="104" id="{00000000-000E-0000-0000-000068000000}">
            <xm:f>COUNTA(Schedule!$D$82:$G$82)&lt;4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05" id="{00000000-000E-0000-0000-000069000000}">
            <xm:f>Schedule!$G$82=""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F58:F59</xm:sqref>
        </x14:conditionalFormatting>
        <x14:conditionalFormatting xmlns:xm="http://schemas.microsoft.com/office/excel/2006/main">
          <x14:cfRule type="expression" priority="76" id="{00000000-000E-0000-0000-00004C000000}">
            <xm:f>COUNTA(Schedule!$D$89:$G$89)&lt;4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77" id="{00000000-000E-0000-0000-00004D000000}">
            <xm:f>Schedule!$G$89=""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F60:F61</xm:sqref>
        </x14:conditionalFormatting>
        <x14:conditionalFormatting xmlns:xm="http://schemas.microsoft.com/office/excel/2006/main">
          <x14:cfRule type="expression" priority="48" id="{00000000-000E-0000-0000-000030000000}">
            <xm:f>COUNTA(Schedule!$D$97:$G$97)&lt;4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49" id="{00000000-000E-0000-0000-000031000000}">
            <xm:f>Schedule!$G$97=""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F62:F63</xm:sqref>
        </x14:conditionalFormatting>
        <x14:conditionalFormatting xmlns:xm="http://schemas.microsoft.com/office/excel/2006/main">
          <x14:cfRule type="expression" priority="20" id="{00000000-000E-0000-0000-000014000000}">
            <xm:f>COUNTA(Schedule!$D$104:$G$104)&lt;4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1" id="{00000000-000E-0000-0000-000015000000}">
            <xm:f>Schedule!$G$104=""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F64:F65</xm:sqref>
        </x14:conditionalFormatting>
        <x14:conditionalFormatting xmlns:xm="http://schemas.microsoft.com/office/excel/2006/main">
          <x14:cfRule type="expression" priority="380" id="{00000000-000E-0000-0000-00007C010000}">
            <xm:f>COUNTA(Schedule!$D$8:$G$8)&lt;4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81" id="{00000000-000E-0000-0000-00007D010000}">
            <xm:f>Schedule!$G$8=""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G25:G26</xm:sqref>
        </x14:conditionalFormatting>
        <x14:conditionalFormatting xmlns:xm="http://schemas.microsoft.com/office/excel/2006/main">
          <x14:cfRule type="expression" priority="352" id="{00000000-000E-0000-0000-000060010000}">
            <xm:f>COUNTA(Schedule!$D$15:$G$15)&lt;4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53" id="{00000000-000E-0000-0000-000061010000}">
            <xm:f>Schedule!$G$15=""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G30:G31</xm:sqref>
        </x14:conditionalFormatting>
        <x14:conditionalFormatting xmlns:xm="http://schemas.microsoft.com/office/excel/2006/main">
          <x14:cfRule type="expression" priority="324" id="{00000000-000E-0000-0000-000044010000}">
            <xm:f>COUNTA(Schedule!$D$23:$G$23)&lt;4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25" id="{00000000-000E-0000-0000-000045010000}">
            <xm:f>Schedule!$G$23=""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G32:G33</xm:sqref>
        </x14:conditionalFormatting>
        <x14:conditionalFormatting xmlns:xm="http://schemas.microsoft.com/office/excel/2006/main">
          <x14:cfRule type="expression" priority="296" id="{00000000-000E-0000-0000-000028010000}">
            <xm:f>COUNTA(Schedule!$D$30:$G$30)&lt;4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97" id="{00000000-000E-0000-0000-000029010000}">
            <xm:f>Schedule!$G$30=""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G34:G35</xm:sqref>
        </x14:conditionalFormatting>
        <x14:conditionalFormatting xmlns:xm="http://schemas.microsoft.com/office/excel/2006/main">
          <x14:cfRule type="expression" priority="268" id="{00000000-000E-0000-0000-00000C010000}">
            <xm:f>COUNTA(Schedule!$D$38:$G$38)&lt;4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69" id="{00000000-000E-0000-0000-00000D010000}">
            <xm:f>Schedule!$G$38=""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G36:G37</xm:sqref>
        </x14:conditionalFormatting>
        <x14:conditionalFormatting xmlns:xm="http://schemas.microsoft.com/office/excel/2006/main">
          <x14:cfRule type="expression" priority="240" id="{00000000-000E-0000-0000-0000F0000000}">
            <xm:f>COUNTA(Schedule!$D$45:$G$45)&lt;4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41" id="{00000000-000E-0000-0000-0000F1000000}">
            <xm:f>Schedule!$G$45=""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G43:G44</xm:sqref>
        </x14:conditionalFormatting>
        <x14:conditionalFormatting xmlns:xm="http://schemas.microsoft.com/office/excel/2006/main">
          <x14:cfRule type="expression" priority="212" id="{00000000-000E-0000-0000-0000D4000000}">
            <xm:f>COUNTA(Schedule!$D$53:$G$53)&lt;4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13" id="{00000000-000E-0000-0000-0000D5000000}">
            <xm:f>Schedule!$G$53=""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G45:G46</xm:sqref>
        </x14:conditionalFormatting>
        <x14:conditionalFormatting xmlns:xm="http://schemas.microsoft.com/office/excel/2006/main">
          <x14:cfRule type="expression" priority="184" id="{00000000-000E-0000-0000-0000B8000000}">
            <xm:f>COUNTA(Schedule!$D$60:$G$60)&lt;4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85" id="{00000000-000E-0000-0000-0000B9000000}">
            <xm:f>Schedule!$G$60=""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G47:G48</xm:sqref>
        </x14:conditionalFormatting>
        <x14:conditionalFormatting xmlns:xm="http://schemas.microsoft.com/office/excel/2006/main">
          <x14:cfRule type="expression" priority="156" id="{00000000-000E-0000-0000-00009C000000}">
            <xm:f>COUNTA(Schedule!$D$68:$G$68)&lt;4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57" id="{00000000-000E-0000-0000-00009D000000}">
            <xm:f>Schedule!$G$68=""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G49:G50</xm:sqref>
        </x14:conditionalFormatting>
        <x14:conditionalFormatting xmlns:xm="http://schemas.microsoft.com/office/excel/2006/main">
          <x14:cfRule type="expression" priority="128" id="{00000000-000E-0000-0000-000080000000}">
            <xm:f>COUNTA(Schedule!$D$75:$G$75)&lt;4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29" id="{00000000-000E-0000-0000-000081000000}">
            <xm:f>Schedule!$G$75=""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G56:G57</xm:sqref>
        </x14:conditionalFormatting>
        <x14:conditionalFormatting xmlns:xm="http://schemas.microsoft.com/office/excel/2006/main">
          <x14:cfRule type="expression" priority="100" id="{00000000-000E-0000-0000-000064000000}">
            <xm:f>COUNTA(Schedule!$D$83:$G$83)&lt;4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01" id="{00000000-000E-0000-0000-000065000000}">
            <xm:f>Schedule!$G$83=""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G58:G59</xm:sqref>
        </x14:conditionalFormatting>
        <x14:conditionalFormatting xmlns:xm="http://schemas.microsoft.com/office/excel/2006/main">
          <x14:cfRule type="expression" priority="72" id="{00000000-000E-0000-0000-000048000000}">
            <xm:f>COUNTA(Schedule!$D$90:$G$90)&lt;4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73" id="{00000000-000E-0000-0000-000049000000}">
            <xm:f>Schedule!$G$90=""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G60:G61</xm:sqref>
        </x14:conditionalFormatting>
        <x14:conditionalFormatting xmlns:xm="http://schemas.microsoft.com/office/excel/2006/main">
          <x14:cfRule type="expression" priority="44" id="{00000000-000E-0000-0000-00002C000000}">
            <xm:f>COUNTA(Schedule!$D$98:$G$98)&lt;4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45" id="{00000000-000E-0000-0000-00002D000000}">
            <xm:f>Schedule!$G$98=""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G62:G63</xm:sqref>
        </x14:conditionalFormatting>
        <x14:conditionalFormatting xmlns:xm="http://schemas.microsoft.com/office/excel/2006/main">
          <x14:cfRule type="expression" priority="16" id="{00000000-000E-0000-0000-000010000000}">
            <xm:f>COUNTA(Schedule!$D$105:$G$105)&lt;4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7" id="{00000000-000E-0000-0000-000011000000}">
            <xm:f>Schedule!$G$105=""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G64:G65</xm:sqref>
        </x14:conditionalFormatting>
        <x14:conditionalFormatting xmlns:xm="http://schemas.microsoft.com/office/excel/2006/main">
          <x14:cfRule type="expression" priority="376" id="{00000000-000E-0000-0000-000078010000}">
            <xm:f>COUNTA(Schedule!$D$9:$G$9)&lt;4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77" id="{00000000-000E-0000-0000-000079010000}">
            <xm:f>Schedule!$G$9=""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H25:H26</xm:sqref>
        </x14:conditionalFormatting>
        <x14:conditionalFormatting xmlns:xm="http://schemas.microsoft.com/office/excel/2006/main">
          <x14:cfRule type="expression" priority="348" id="{00000000-000E-0000-0000-00005C010000}">
            <xm:f>COUNTA(Schedule!$D$16:$G$16)&lt;4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49" id="{00000000-000E-0000-0000-00005D010000}">
            <xm:f>Schedule!$G$16=""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H30:H31</xm:sqref>
        </x14:conditionalFormatting>
        <x14:conditionalFormatting xmlns:xm="http://schemas.microsoft.com/office/excel/2006/main">
          <x14:cfRule type="expression" priority="320" id="{00000000-000E-0000-0000-000040010000}">
            <xm:f>COUNTA(Schedule!$D$24:$G$24)&lt;4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321" id="{00000000-000E-0000-0000-000041010000}">
            <xm:f>Schedule!$G$24=""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H32:H33</xm:sqref>
        </x14:conditionalFormatting>
        <x14:conditionalFormatting xmlns:xm="http://schemas.microsoft.com/office/excel/2006/main">
          <x14:cfRule type="expression" priority="292" id="{00000000-000E-0000-0000-000024010000}">
            <xm:f>COUNTA(Schedule!$D$31:$G$31)&lt;4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93" id="{00000000-000E-0000-0000-000025010000}">
            <xm:f>Schedule!$G$31=""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H34:H35</xm:sqref>
        </x14:conditionalFormatting>
        <x14:conditionalFormatting xmlns:xm="http://schemas.microsoft.com/office/excel/2006/main">
          <x14:cfRule type="expression" priority="264" id="{00000000-000E-0000-0000-000008010000}">
            <xm:f>COUNTA(Schedule!$D$39:$G$39)&lt;4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65" id="{00000000-000E-0000-0000-000009010000}">
            <xm:f>Schedule!$G$39=""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H36:H37</xm:sqref>
        </x14:conditionalFormatting>
        <x14:conditionalFormatting xmlns:xm="http://schemas.microsoft.com/office/excel/2006/main">
          <x14:cfRule type="expression" priority="236" id="{00000000-000E-0000-0000-0000EC000000}">
            <xm:f>COUNTA(Schedule!$D$46:$G$46)&lt;4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37" id="{00000000-000E-0000-0000-0000ED000000}">
            <xm:f>Schedule!$G$46=""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H43:H44</xm:sqref>
        </x14:conditionalFormatting>
        <x14:conditionalFormatting xmlns:xm="http://schemas.microsoft.com/office/excel/2006/main">
          <x14:cfRule type="expression" priority="208" id="{00000000-000E-0000-0000-0000D0000000}">
            <xm:f>COUNTA(Schedule!$D$54:$G$54)&lt;4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209" id="{00000000-000E-0000-0000-0000D1000000}">
            <xm:f>Schedule!$G$54=""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H45:H46</xm:sqref>
        </x14:conditionalFormatting>
        <x14:conditionalFormatting xmlns:xm="http://schemas.microsoft.com/office/excel/2006/main">
          <x14:cfRule type="expression" priority="180" id="{00000000-000E-0000-0000-0000B4000000}">
            <xm:f>COUNTA(Schedule!$D$61:$G$61)&lt;4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81" id="{00000000-000E-0000-0000-0000B5000000}">
            <xm:f>Schedule!$G$61=""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H47:H48</xm:sqref>
        </x14:conditionalFormatting>
        <x14:conditionalFormatting xmlns:xm="http://schemas.microsoft.com/office/excel/2006/main">
          <x14:cfRule type="expression" priority="152" id="{00000000-000E-0000-0000-000098000000}">
            <xm:f>COUNTA(Schedule!$D$69:$G$69)&lt;4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53" id="{00000000-000E-0000-0000-000099000000}">
            <xm:f>Schedule!$G$69=""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H49:H50</xm:sqref>
        </x14:conditionalFormatting>
        <x14:conditionalFormatting xmlns:xm="http://schemas.microsoft.com/office/excel/2006/main">
          <x14:cfRule type="expression" priority="124" id="{00000000-000E-0000-0000-00007C000000}">
            <xm:f>COUNTA(Schedule!$D$76:$G$76)&lt;4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25" id="{00000000-000E-0000-0000-00007D000000}">
            <xm:f>Schedule!$G$76=""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H56:H57</xm:sqref>
        </x14:conditionalFormatting>
        <x14:conditionalFormatting xmlns:xm="http://schemas.microsoft.com/office/excel/2006/main">
          <x14:cfRule type="expression" priority="96" id="{00000000-000E-0000-0000-000060000000}">
            <xm:f>COUNTA(Schedule!$D$84:$G$84)&lt;4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97" id="{00000000-000E-0000-0000-000061000000}">
            <xm:f>Schedule!$G$84=""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H58:H59</xm:sqref>
        </x14:conditionalFormatting>
        <x14:conditionalFormatting xmlns:xm="http://schemas.microsoft.com/office/excel/2006/main">
          <x14:cfRule type="expression" priority="68" id="{00000000-000E-0000-0000-000044000000}">
            <xm:f>COUNTA(Schedule!$D$91:$G$91)&lt;4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69" id="{00000000-000E-0000-0000-000045000000}">
            <xm:f>Schedule!$G$91=""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H60:H61</xm:sqref>
        </x14:conditionalFormatting>
        <x14:conditionalFormatting xmlns:xm="http://schemas.microsoft.com/office/excel/2006/main">
          <x14:cfRule type="expression" priority="40" id="{00000000-000E-0000-0000-000028000000}">
            <xm:f>COUNTA(Schedule!$D$99:$G$99)&lt;4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41" id="{00000000-000E-0000-0000-000029000000}">
            <xm:f>Schedule!$G$99=""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H62:H63</xm:sqref>
        </x14:conditionalFormatting>
        <x14:conditionalFormatting xmlns:xm="http://schemas.microsoft.com/office/excel/2006/main">
          <x14:cfRule type="expression" priority="12" id="{00000000-000E-0000-0000-00000C000000}">
            <xm:f>COUNTA(Schedule!$D$106:$G$106)&lt;4</xm:f>
            <x14:dxf>
              <font>
                <sz val="11"/>
                <color rgb="FFE8A33D"/>
                <name val="Calibri"/>
              </font>
              <border>
                <left style="dotted">
                  <color rgb="FFE8A33D"/>
                </left>
                <right style="dotted">
                  <color rgb="FFE8A33D"/>
                </right>
                <top style="dotted">
                  <color rgb="FFE8A33D"/>
                </top>
                <bottom style="dotted">
                  <color rgb="FFE8A33D"/>
                </bottom>
              </border>
            </x14:dxf>
          </x14:cfRule>
          <x14:cfRule type="expression" priority="13" id="{00000000-000E-0000-0000-00000D000000}">
            <xm:f>Schedule!$G$106=""</xm:f>
            <x14:dxf>
              <font>
                <sz val="11"/>
                <color rgb="FFC00000"/>
                <name val="Calibri"/>
              </font>
              <border>
                <left style="dotted">
                  <color rgb="FFC00000"/>
                </left>
                <right style="dotted">
                  <color rgb="FFC00000"/>
                </right>
                <top style="dotted">
                  <color rgb="FFC00000"/>
                </top>
                <bottom style="dotted">
                  <color rgb="FFC00000"/>
                </bottom>
              </border>
            </x14:dxf>
          </x14:cfRule>
          <xm:sqref>H64:H65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0"/>
  <sheetViews>
    <sheetView workbookViewId="0">
      <pane ySplit="1" topLeftCell="A5" activePane="bottomLeft" state="frozen"/>
      <selection pane="bottomLeft" activeCell="H17" sqref="H17"/>
    </sheetView>
  </sheetViews>
  <sheetFormatPr defaultColWidth="10.90625" defaultRowHeight="14.5" x14ac:dyDescent="0.35"/>
  <cols>
    <col min="1" max="1" width="26.7265625" customWidth="1"/>
    <col min="2" max="17" width="12.7265625" customWidth="1"/>
    <col min="19" max="34" width="8.7265625" hidden="1" customWidth="1"/>
  </cols>
  <sheetData>
    <row r="1" spans="1:34" ht="28" customHeight="1" x14ac:dyDescent="0.35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S1">
        <v>6</v>
      </c>
      <c r="T1">
        <v>5</v>
      </c>
      <c r="U1">
        <v>6</v>
      </c>
      <c r="V1">
        <v>4</v>
      </c>
      <c r="W1">
        <v>5</v>
      </c>
      <c r="X1">
        <v>4</v>
      </c>
      <c r="Y1">
        <v>4</v>
      </c>
      <c r="Z1">
        <v>6</v>
      </c>
      <c r="AA1">
        <v>0</v>
      </c>
      <c r="AB1">
        <v>6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</row>
    <row r="2" spans="1:34" ht="20" customHeight="1" x14ac:dyDescent="0.35">
      <c r="A2" s="51" t="s">
        <v>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S2">
        <v>6</v>
      </c>
      <c r="T2">
        <v>5</v>
      </c>
      <c r="U2">
        <v>6</v>
      </c>
      <c r="V2">
        <v>5</v>
      </c>
      <c r="W2">
        <v>5</v>
      </c>
      <c r="X2">
        <v>5</v>
      </c>
      <c r="Y2">
        <v>5</v>
      </c>
      <c r="Z2">
        <v>5</v>
      </c>
      <c r="AA2">
        <v>0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ht="18" customHeight="1" x14ac:dyDescent="0.35">
      <c r="A3" s="19"/>
      <c r="B3" s="19" t="s">
        <v>2</v>
      </c>
      <c r="C3" s="19" t="s">
        <v>42</v>
      </c>
      <c r="D3" s="19" t="s">
        <v>43</v>
      </c>
      <c r="E3" s="19" t="s">
        <v>44</v>
      </c>
      <c r="F3" s="19" t="s">
        <v>45</v>
      </c>
      <c r="G3" s="19" t="s">
        <v>46</v>
      </c>
      <c r="H3" s="19" t="s">
        <v>47</v>
      </c>
      <c r="I3" s="19" t="s">
        <v>48</v>
      </c>
      <c r="J3" s="19" t="s">
        <v>49</v>
      </c>
      <c r="K3" s="19" t="s">
        <v>50</v>
      </c>
      <c r="L3" s="19" t="s">
        <v>51</v>
      </c>
      <c r="M3" s="19" t="s">
        <v>52</v>
      </c>
      <c r="N3" s="19" t="s">
        <v>53</v>
      </c>
      <c r="O3" s="19" t="s">
        <v>54</v>
      </c>
      <c r="P3" s="19" t="s">
        <v>55</v>
      </c>
      <c r="Q3" s="19" t="s">
        <v>56</v>
      </c>
      <c r="S3">
        <v>6</v>
      </c>
      <c r="T3">
        <v>6</v>
      </c>
      <c r="U3">
        <v>6</v>
      </c>
      <c r="V3">
        <v>6</v>
      </c>
      <c r="W3">
        <v>6</v>
      </c>
      <c r="X3">
        <v>4</v>
      </c>
      <c r="Y3">
        <v>6</v>
      </c>
      <c r="Z3">
        <v>6</v>
      </c>
      <c r="AA3">
        <v>0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ht="16" customHeight="1" x14ac:dyDescent="0.35">
      <c r="A4" s="20" t="s">
        <v>57</v>
      </c>
      <c r="B4" s="21">
        <f>COUNTIF(Schedule!$K:$K,"Day")+COUNTIF(Schedule!$K:$K,"Night")+COUNTIF(Schedule!$K:$K,"FC3")+COUNTIF(Schedule!$K:$K,"FC3 Night")</f>
        <v>40</v>
      </c>
      <c r="C4" s="21">
        <f>COUNTIF(Schedule!$L:$L,"Day")+COUNTIF(Schedule!$L:$L,"Night")+COUNTIF(Schedule!$L:$L,"FC3")+COUNTIF(Schedule!$L:$L,"FC3 Night")</f>
        <v>39</v>
      </c>
      <c r="D4" s="21">
        <f>COUNTIF(Schedule!$M:$M,"Day")+COUNTIF(Schedule!$M:$M,"Night")+COUNTIF(Schedule!$M:$M,"FC3")+COUNTIF(Schedule!$M:$M,"FC3 Night")</f>
        <v>40</v>
      </c>
      <c r="E4" s="21">
        <f>COUNTIF(Schedule!$N:$N,"Day")+COUNTIF(Schedule!$N:$N,"Night")+COUNTIF(Schedule!$N:$N,"FC3")+COUNTIF(Schedule!$N:$N,"FC3 Night")</f>
        <v>37</v>
      </c>
      <c r="F4" s="21">
        <f>COUNTIF(Schedule!$O:$O,"Day")+COUNTIF(Schedule!$O:$O,"Night")+COUNTIF(Schedule!$O:$O,"FC3")+COUNTIF(Schedule!$O:$O,"FC3 Night")</f>
        <v>37</v>
      </c>
      <c r="G4" s="21">
        <f>COUNTIF(Schedule!$P:$P,"Day")+COUNTIF(Schedule!$P:$P,"Night")+COUNTIF(Schedule!$P:$P,"FC3")+COUNTIF(Schedule!$P:$P,"FC3 Night")</f>
        <v>35</v>
      </c>
      <c r="H4" s="21">
        <f>COUNTIF(Schedule!$Q:$Q,"Day")+COUNTIF(Schedule!$Q:$Q,"Night")+COUNTIF(Schedule!$Q:$Q,"FC3")+COUNTIF(Schedule!$Q:$Q,"FC3 Night")</f>
        <v>39</v>
      </c>
      <c r="I4" s="21">
        <f>COUNTIF(Schedule!$R:$R,"Day")+COUNTIF(Schedule!$R:$R,"Night")+COUNTIF(Schedule!$R:$R,"FC3")+COUNTIF(Schedule!$R:$R,"FC3 Night")</f>
        <v>37</v>
      </c>
      <c r="J4" s="21">
        <f>COUNTIF(Schedule!$S:$S,"Day")+COUNTIF(Schedule!$S:$S,"Night")+COUNTIF(Schedule!$S:$S,"FC3")+COUNTIF(Schedule!$S:$S,"FC3 Night")</f>
        <v>17</v>
      </c>
      <c r="K4" s="21">
        <f>COUNTIF(Schedule!$T:$T,"Day")+COUNTIF(Schedule!$T:$T,"Night")+COUNTIF(Schedule!$T:$T,"FC3")+COUNTIF(Schedule!$T:$T,"FC3 Night")</f>
        <v>38</v>
      </c>
      <c r="L4" s="21">
        <f>COUNTIF(Schedule!$U:$U,"Day")+COUNTIF(Schedule!$U:$U,"Night")+COUNTIF(Schedule!$U:$U,"FC3")+COUNTIF(Schedule!$U:$U,"FC3 Night")</f>
        <v>0</v>
      </c>
      <c r="M4" s="21">
        <f>COUNTIF(Schedule!$V:$V,"Day")+COUNTIF(Schedule!$V:$V,"Night")+COUNTIF(Schedule!$V:$V,"FC3")+COUNTIF(Schedule!$V:$V,"FC3 Night")</f>
        <v>0</v>
      </c>
      <c r="N4" s="21">
        <f>COUNTIF(Schedule!$W:$W,"Day")+COUNTIF(Schedule!$W:$W,"Night")+COUNTIF(Schedule!$W:$W,"FC3")+COUNTIF(Schedule!$W:$W,"FC3 Night")</f>
        <v>0</v>
      </c>
      <c r="O4" s="21">
        <f>COUNTIF(Schedule!$X:$X,"Day")+COUNTIF(Schedule!$X:$X,"Night")+COUNTIF(Schedule!$X:$X,"FC3")+COUNTIF(Schedule!$X:$X,"FC3 Night")</f>
        <v>0</v>
      </c>
      <c r="P4" s="21">
        <f>COUNTIF(Schedule!$Y:$Y,"Day")+COUNTIF(Schedule!$Y:$Y,"Night")+COUNTIF(Schedule!$Y:$Y,"FC3")+COUNTIF(Schedule!$Y:$Y,"FC3 Night")</f>
        <v>0</v>
      </c>
      <c r="Q4" s="21">
        <f>COUNTIF(Schedule!$Z:$Z,"Day")+COUNTIF(Schedule!$Z:$Z,"Night")+COUNTIF(Schedule!$Z:$Z,"FC3")+COUNTIF(Schedule!$Z:$Z,"FC3 Night")</f>
        <v>0</v>
      </c>
      <c r="S4">
        <v>5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0</v>
      </c>
      <c r="AB4">
        <v>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ht="16" customHeight="1" x14ac:dyDescent="0.35">
      <c r="A5" s="22" t="s">
        <v>58</v>
      </c>
      <c r="B5" s="21">
        <v>0</v>
      </c>
      <c r="C5" s="23">
        <v>1</v>
      </c>
      <c r="D5" s="21">
        <v>0</v>
      </c>
      <c r="E5" s="23">
        <v>3</v>
      </c>
      <c r="F5" s="23">
        <v>1</v>
      </c>
      <c r="G5" s="23">
        <v>2</v>
      </c>
      <c r="H5" s="23">
        <v>3</v>
      </c>
      <c r="I5" s="21">
        <v>0</v>
      </c>
      <c r="J5" s="21">
        <v>0</v>
      </c>
      <c r="K5" s="23">
        <v>1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S5">
        <v>6</v>
      </c>
      <c r="T5">
        <v>5</v>
      </c>
      <c r="U5">
        <v>6</v>
      </c>
      <c r="V5">
        <v>4</v>
      </c>
      <c r="W5">
        <v>4</v>
      </c>
      <c r="X5">
        <v>4</v>
      </c>
      <c r="Y5">
        <v>6</v>
      </c>
      <c r="Z5">
        <v>5</v>
      </c>
      <c r="AA5">
        <v>5</v>
      </c>
      <c r="AB5">
        <v>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ht="16" customHeight="1" x14ac:dyDescent="0.35">
      <c r="A6" s="20" t="s">
        <v>59</v>
      </c>
      <c r="B6" s="21">
        <f>COUNTIF(Schedule!$K:$K,"Day")+COUNTIF(Schedule!$K:$K,"Night")+COUNTIF(Schedule!$K:$K,"FC3")+COUNTIF(Schedule!$K:$K,"FC3 Night")+0</f>
        <v>40</v>
      </c>
      <c r="C6" s="21">
        <f>COUNTIF(Schedule!$L:$L,"Day")+COUNTIF(Schedule!$L:$L,"Night")+COUNTIF(Schedule!$L:$L,"FC3")+COUNTIF(Schedule!$L:$L,"FC3 Night")+1</f>
        <v>40</v>
      </c>
      <c r="D6" s="21">
        <f>COUNTIF(Schedule!$M:$M,"Day")+COUNTIF(Schedule!$M:$M,"Night")+COUNTIF(Schedule!$M:$M,"FC3")+COUNTIF(Schedule!$M:$M,"FC3 Night")+0</f>
        <v>40</v>
      </c>
      <c r="E6" s="21">
        <f>COUNTIF(Schedule!$N:$N,"Day")+COUNTIF(Schedule!$N:$N,"Night")+COUNTIF(Schedule!$N:$N,"FC3")+COUNTIF(Schedule!$N:$N,"FC3 Night")+3</f>
        <v>40</v>
      </c>
      <c r="F6" s="21">
        <f>COUNTIF(Schedule!$O:$O,"Day")+COUNTIF(Schedule!$O:$O,"Night")+COUNTIF(Schedule!$O:$O,"FC3")+COUNTIF(Schedule!$O:$O,"FC3 Night")+1</f>
        <v>38</v>
      </c>
      <c r="G6" s="21">
        <f>COUNTIF(Schedule!$P:$P,"Day")+COUNTIF(Schedule!$P:$P,"Night")+COUNTIF(Schedule!$P:$P,"FC3")+COUNTIF(Schedule!$P:$P,"FC3 Night")+2</f>
        <v>37</v>
      </c>
      <c r="H6" s="21">
        <f>COUNTIF(Schedule!$Q:$Q,"Day")+COUNTIF(Schedule!$Q:$Q,"Night")+COUNTIF(Schedule!$Q:$Q,"FC3")+COUNTIF(Schedule!$Q:$Q,"FC3 Night")+3</f>
        <v>42</v>
      </c>
      <c r="I6" s="21">
        <f>COUNTIF(Schedule!$R:$R,"Day")+COUNTIF(Schedule!$R:$R,"Night")+COUNTIF(Schedule!$R:$R,"FC3")+COUNTIF(Schedule!$R:$R,"FC3 Night")+0</f>
        <v>37</v>
      </c>
      <c r="J6" s="21">
        <f>COUNTIF(Schedule!$S:$S,"Day")+COUNTIF(Schedule!$S:$S,"Night")+COUNTIF(Schedule!$S:$S,"FC3")+COUNTIF(Schedule!$S:$S,"FC3 Night")+0</f>
        <v>17</v>
      </c>
      <c r="K6" s="21">
        <f>COUNTIF(Schedule!$T:$T,"Day")+COUNTIF(Schedule!$T:$T,"Night")+COUNTIF(Schedule!$T:$T,"FC3")+COUNTIF(Schedule!$T:$T,"FC3 Night")+1</f>
        <v>39</v>
      </c>
      <c r="L6" s="21">
        <f>COUNTIF(Schedule!$U:$U,"Day")+COUNTIF(Schedule!$U:$U,"Night")+COUNTIF(Schedule!$U:$U,"FC3")+COUNTIF(Schedule!$U:$U,"FC3 Night")+0</f>
        <v>0</v>
      </c>
      <c r="M6" s="21">
        <f>COUNTIF(Schedule!$V:$V,"Day")+COUNTIF(Schedule!$V:$V,"Night")+COUNTIF(Schedule!$V:$V,"FC3")+COUNTIF(Schedule!$V:$V,"FC3 Night")+0</f>
        <v>0</v>
      </c>
      <c r="N6" s="21">
        <f>COUNTIF(Schedule!$W:$W,"Day")+COUNTIF(Schedule!$W:$W,"Night")+COUNTIF(Schedule!$W:$W,"FC3")+COUNTIF(Schedule!$W:$W,"FC3 Night")+0</f>
        <v>0</v>
      </c>
      <c r="O6" s="21">
        <f>COUNTIF(Schedule!$X:$X,"Day")+COUNTIF(Schedule!$X:$X,"Night")+COUNTIF(Schedule!$X:$X,"FC3")+COUNTIF(Schedule!$X:$X,"FC3 Night")+0</f>
        <v>0</v>
      </c>
      <c r="P6" s="21">
        <f>COUNTIF(Schedule!$Y:$Y,"Day")+COUNTIF(Schedule!$Y:$Y,"Night")+COUNTIF(Schedule!$Y:$Y,"FC3")+COUNTIF(Schedule!$Y:$Y,"FC3 Night")+0</f>
        <v>0</v>
      </c>
      <c r="Q6" s="21">
        <f>COUNTIF(Schedule!$Z:$Z,"Day")+COUNTIF(Schedule!$Z:$Z,"Night")+COUNTIF(Schedule!$Z:$Z,"FC3")+COUNTIF(Schedule!$Z:$Z,"FC3 Night")+0</f>
        <v>0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ht="16" customHeight="1" x14ac:dyDescent="0.35">
      <c r="A7" s="22" t="s">
        <v>60</v>
      </c>
      <c r="B7" s="21">
        <f>COUNTIF(Schedule!$K:$K,"Night")</f>
        <v>11</v>
      </c>
      <c r="C7" s="21">
        <f>COUNTIF(Schedule!$L:$L,"Night")</f>
        <v>8</v>
      </c>
      <c r="D7" s="21">
        <f>COUNTIF(Schedule!$M:$M,"Night")</f>
        <v>9</v>
      </c>
      <c r="E7" s="21">
        <f>COUNTIF(Schedule!$N:$N,"Night")</f>
        <v>9</v>
      </c>
      <c r="F7" s="21">
        <f>COUNTIF(Schedule!$O:$O,"Night")</f>
        <v>9</v>
      </c>
      <c r="G7" s="21">
        <f>COUNTIF(Schedule!$P:$P,"Night")</f>
        <v>10</v>
      </c>
      <c r="H7" s="21">
        <f>COUNTIF(Schedule!$Q:$Q,"Night")</f>
        <v>9</v>
      </c>
      <c r="I7" s="21">
        <f>COUNTIF(Schedule!$R:$R,"Night")</f>
        <v>9</v>
      </c>
      <c r="J7" s="21">
        <f>COUNTIF(Schedule!$S:$S,"Night")</f>
        <v>6</v>
      </c>
      <c r="K7" s="21">
        <f>COUNTIF(Schedule!$T:$T,"Night")</f>
        <v>11</v>
      </c>
      <c r="L7" s="21">
        <f>COUNTIF(Schedule!$U:$U,"Night")</f>
        <v>0</v>
      </c>
      <c r="M7" s="21">
        <f>COUNTIF(Schedule!$V:$V,"Night")</f>
        <v>0</v>
      </c>
      <c r="N7" s="21">
        <f>COUNTIF(Schedule!$W:$W,"Night")</f>
        <v>0</v>
      </c>
      <c r="O7" s="21">
        <f>COUNTIF(Schedule!$X:$X,"Night")</f>
        <v>0</v>
      </c>
      <c r="P7" s="21">
        <f>COUNTIF(Schedule!$Y:$Y,"Night")</f>
        <v>0</v>
      </c>
      <c r="Q7" s="21">
        <f>COUNTIF(Schedule!$Z:$Z,"Night")</f>
        <v>0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3</v>
      </c>
      <c r="AA7">
        <v>6</v>
      </c>
      <c r="AB7">
        <v>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ht="16" customHeight="1" x14ac:dyDescent="0.35">
      <c r="A8" s="22" t="s">
        <v>61</v>
      </c>
      <c r="B8" s="21">
        <f>SUMPRODUCT(((Schedule!$B$2:$B$200="Sat")+(Schedule!$B$2:$B$200="Sun"))*((Schedule!$K$2:$K$200="Day")+(Schedule!$K$2:$K$200="Night")+(Schedule!$K$2:$K$200="FC3")+(Schedule!$K$2:$K$200="FC3 Night")))+SUMPRODUCT((Schedule!$B$2:$B$200="Fri")*(Schedule!$K$2:$K$200="Night"))</f>
        <v>11</v>
      </c>
      <c r="C8" s="21">
        <f>SUMPRODUCT(((Schedule!$B$2:$B$200="Sat")+(Schedule!$B$2:$B$200="Sun"))*((Schedule!$L$2:$L$200="Day")+(Schedule!$L$2:$L$200="Night")+(Schedule!$L$2:$L$200="FC3")+(Schedule!$L$2:$L$200="FC3 Night")))+SUMPRODUCT((Schedule!$B$2:$B$200="Fri")*(Schedule!$L$2:$L$200="Night"))</f>
        <v>11</v>
      </c>
      <c r="D8" s="21">
        <f>SUMPRODUCT(((Schedule!$B$2:$B$200="Sat")+(Schedule!$B$2:$B$200="Sun"))*((Schedule!$M$2:$M$200="Day")+(Schedule!$M$2:$M$200="Night")+(Schedule!$M$2:$M$200="FC3")+(Schedule!$M$2:$M$200="FC3 Night")))+SUMPRODUCT((Schedule!$B$2:$B$200="Fri")*(Schedule!$M$2:$M$200="Night"))</f>
        <v>11</v>
      </c>
      <c r="E8" s="21">
        <f>SUMPRODUCT(((Schedule!$B$2:$B$200="Sat")+(Schedule!$B$2:$B$200="Sun"))*((Schedule!$N$2:$N$200="Day")+(Schedule!$N$2:$N$200="Night")+(Schedule!$N$2:$N$200="FC3")+(Schedule!$N$2:$N$200="FC3 Night")))+SUMPRODUCT((Schedule!$B$2:$B$200="Fri")*(Schedule!$N$2:$N$200="Night"))</f>
        <v>11</v>
      </c>
      <c r="F8" s="21">
        <f>SUMPRODUCT(((Schedule!$B$2:$B$200="Sat")+(Schedule!$B$2:$B$200="Sun"))*((Schedule!$O$2:$O$200="Day")+(Schedule!$O$2:$O$200="Night")+(Schedule!$O$2:$O$200="FC3")+(Schedule!$O$2:$O$200="FC3 Night")))+SUMPRODUCT((Schedule!$B$2:$B$200="Fri")*(Schedule!$O$2:$O$200="Night"))</f>
        <v>12</v>
      </c>
      <c r="G8" s="21">
        <f>SUMPRODUCT(((Schedule!$B$2:$B$200="Sat")+(Schedule!$B$2:$B$200="Sun"))*((Schedule!$P$2:$P$200="Day")+(Schedule!$P$2:$P$200="Night")+(Schedule!$P$2:$P$200="FC3")+(Schedule!$P$2:$P$200="FC3 Night")))+SUMPRODUCT((Schedule!$B$2:$B$200="Fri")*(Schedule!$P$2:$P$200="Night"))</f>
        <v>11</v>
      </c>
      <c r="H8" s="21">
        <f>SUMPRODUCT(((Schedule!$B$2:$B$200="Sat")+(Schedule!$B$2:$B$200="Sun"))*((Schedule!$Q$2:$Q$200="Day")+(Schedule!$Q$2:$Q$200="Night")+(Schedule!$Q$2:$Q$200="FC3")+(Schedule!$Q$2:$Q$200="FC3 Night")))+SUMPRODUCT((Schedule!$B$2:$B$200="Fri")*(Schedule!$Q$2:$Q$200="Night"))</f>
        <v>11</v>
      </c>
      <c r="I8" s="21">
        <f>SUMPRODUCT(((Schedule!$B$2:$B$200="Sat")+(Schedule!$B$2:$B$200="Sun"))*((Schedule!$R$2:$R$200="Day")+(Schedule!$R$2:$R$200="Night")+(Schedule!$R$2:$R$200="FC3")+(Schedule!$R$2:$R$200="FC3 Night")))+SUMPRODUCT((Schedule!$B$2:$B$200="Fri")*(Schedule!$R$2:$R$200="Night"))</f>
        <v>12</v>
      </c>
      <c r="J8" s="21">
        <f>SUMPRODUCT(((Schedule!$B$2:$B$200="Sat")+(Schedule!$B$2:$B$200="Sun"))*((Schedule!$S$2:$S$200="Day")+(Schedule!$S$2:$S$200="Night")+(Schedule!$S$2:$S$200="FC3")+(Schedule!$S$2:$S$200="FC3 Night")))+SUMPRODUCT((Schedule!$B$2:$B$200="Fri")*(Schedule!$S$2:$S$200="Night"))</f>
        <v>9</v>
      </c>
      <c r="K8" s="21">
        <f>SUMPRODUCT(((Schedule!$B$2:$B$200="Sat")+(Schedule!$B$2:$B$200="Sun"))*((Schedule!$T$2:$T$200="Day")+(Schedule!$T$2:$T$200="Night")+(Schedule!$T$2:$T$200="FC3")+(Schedule!$T$2:$T$200="FC3 Night")))+SUMPRODUCT((Schedule!$B$2:$B$200="Fri")*(Schedule!$T$2:$T$200="Night"))</f>
        <v>12</v>
      </c>
      <c r="L8" s="21">
        <f>SUMPRODUCT(((Schedule!$B$2:$B$200="Sat")+(Schedule!$B$2:$B$200="Sun"))*((Schedule!$U$2:$U$200="Day")+(Schedule!$U$2:$U$200="Night")+(Schedule!$U$2:$U$200="FC3")+(Schedule!$U$2:$U$200="FC3 Night")))+SUMPRODUCT((Schedule!$B$2:$B$200="Fri")*(Schedule!$U$2:$U$200="Night"))</f>
        <v>0</v>
      </c>
      <c r="M8" s="21">
        <f>SUMPRODUCT(((Schedule!$B$2:$B$200="Sat")+(Schedule!$B$2:$B$200="Sun"))*((Schedule!$V$2:$V$200="Day")+(Schedule!$V$2:$V$200="Night")+(Schedule!$V$2:$V$200="FC3")+(Schedule!$V$2:$V$200="FC3 Night")))+SUMPRODUCT((Schedule!$B$2:$B$200="Fri")*(Schedule!$V$2:$V$200="Night"))</f>
        <v>0</v>
      </c>
      <c r="N8" s="21">
        <f>SUMPRODUCT(((Schedule!$B$2:$B$200="Sat")+(Schedule!$B$2:$B$200="Sun"))*((Schedule!$W$2:$W$200="Day")+(Schedule!$W$2:$W$200="Night")+(Schedule!$W$2:$W$200="FC3")+(Schedule!$W$2:$W$200="FC3 Night")))+SUMPRODUCT((Schedule!$B$2:$B$200="Fri")*(Schedule!$W$2:$W$200="Night"))</f>
        <v>0</v>
      </c>
      <c r="O8" s="21">
        <f>SUMPRODUCT(((Schedule!$B$2:$B$200="Sat")+(Schedule!$B$2:$B$200="Sun"))*((Schedule!$X$2:$X$200="Day")+(Schedule!$X$2:$X$200="Night")+(Schedule!$X$2:$X$200="FC3")+(Schedule!$X$2:$X$200="FC3 Night")))+SUMPRODUCT((Schedule!$B$2:$B$200="Fri")*(Schedule!$X$2:$X$200="Night"))</f>
        <v>0</v>
      </c>
      <c r="P8" s="21">
        <f>SUMPRODUCT(((Schedule!$B$2:$B$200="Sat")+(Schedule!$B$2:$B$200="Sun"))*((Schedule!$Y$2:$Y$200="Day")+(Schedule!$Y$2:$Y$200="Night")+(Schedule!$Y$2:$Y$200="FC3")+(Schedule!$Y$2:$Y$200="FC3 Night")))+SUMPRODUCT((Schedule!$B$2:$B$200="Fri")*(Schedule!$Y$2:$Y$200="Night"))</f>
        <v>0</v>
      </c>
      <c r="Q8" s="21">
        <f>SUMPRODUCT(((Schedule!$B$2:$B$200="Sat")+(Schedule!$B$2:$B$200="Sun"))*((Schedule!$Z$2:$Z$200="Day")+(Schedule!$Z$2:$Z$200="Night")+(Schedule!$Z$2:$Z$200="FC3")+(Schedule!$Z$2:$Z$200="FC3 Night")))+SUMPRODUCT((Schedule!$B$2:$B$200="Fri")*(Schedule!$Z$2:$Z$200="Night"))</f>
        <v>0</v>
      </c>
      <c r="S8">
        <f>COUNTIFS(Schedule!$C$2:$C$200,"PP1",Schedule!$D$2:$D$200,"Katie")+COUNTIFS(Schedule!$C$2:$C$200,"PP1",Schedule!$E$2:$E$200,"Katie")+COUNTIFS(Schedule!$C$2:$C$200,"PP1",Schedule!$F$2:$F$200,"Katie")+COUNTIFS(Schedule!$C$2:$C$200,"PP1",Schedule!$G$2:$G$200,"Katie")+COUNTIFS(Schedule!$C$2:$C$200,"PP1",Schedule!$H$2:$H$200,"Katie")+COUNTIFS(Schedule!$C$2:$C$200,"PP1",Schedule!$I$2:$I$200,"Katie")+COUNTIFS(Schedule!$C$2:$C$200,"PP1",Schedule!$J$2:$J$200,"Katie")</f>
        <v>6</v>
      </c>
      <c r="T8">
        <f>COUNTIFS(Schedule!$C$2:$C$200,"PP1",Schedule!$D$2:$D$200,"Hayden")+COUNTIFS(Schedule!$C$2:$C$200,"PP1",Schedule!$E$2:$E$200,"Hayden")+COUNTIFS(Schedule!$C$2:$C$200,"PP1",Schedule!$F$2:$F$200,"Hayden")+COUNTIFS(Schedule!$C$2:$C$200,"PP1",Schedule!$G$2:$G$200,"Hayden")+COUNTIFS(Schedule!$C$2:$C$200,"PP1",Schedule!$H$2:$H$200,"Hayden")+COUNTIFS(Schedule!$C$2:$C$200,"PP1",Schedule!$I$2:$I$200,"Hayden")+COUNTIFS(Schedule!$C$2:$C$200,"PP1",Schedule!$J$2:$J$200,"Hayden")</f>
        <v>5</v>
      </c>
      <c r="U8">
        <f>COUNTIFS(Schedule!$C$2:$C$200,"PP1",Schedule!$D$2:$D$200,"John")+COUNTIFS(Schedule!$C$2:$C$200,"PP1",Schedule!$E$2:$E$200,"John")+COUNTIFS(Schedule!$C$2:$C$200,"PP1",Schedule!$F$2:$F$200,"John")+COUNTIFS(Schedule!$C$2:$C$200,"PP1",Schedule!$G$2:$G$200,"John")+COUNTIFS(Schedule!$C$2:$C$200,"PP1",Schedule!$H$2:$H$200,"John")+COUNTIFS(Schedule!$C$2:$C$200,"PP1",Schedule!$I$2:$I$200,"John")+COUNTIFS(Schedule!$C$2:$C$200,"PP1",Schedule!$J$2:$J$200,"John")</f>
        <v>6</v>
      </c>
      <c r="V8">
        <f>COUNTIFS(Schedule!$C$2:$C$200,"PP1",Schedule!$D$2:$D$200,"Maureen")+COUNTIFS(Schedule!$C$2:$C$200,"PP1",Schedule!$E$2:$E$200,"Maureen")+COUNTIFS(Schedule!$C$2:$C$200,"PP1",Schedule!$F$2:$F$200,"Maureen")+COUNTIFS(Schedule!$C$2:$C$200,"PP1",Schedule!$G$2:$G$200,"Maureen")+COUNTIFS(Schedule!$C$2:$C$200,"PP1",Schedule!$H$2:$H$200,"Maureen")+COUNTIFS(Schedule!$C$2:$C$200,"PP1",Schedule!$I$2:$I$200,"Maureen")+COUNTIFS(Schedule!$C$2:$C$200,"PP1",Schedule!$J$2:$J$200,"Maureen")</f>
        <v>4</v>
      </c>
      <c r="W8">
        <f>COUNTIFS(Schedule!$C$2:$C$200,"PP1",Schedule!$D$2:$D$200,"Mandie")+COUNTIFS(Schedule!$C$2:$C$200,"PP1",Schedule!$E$2:$E$200,"Mandie")+COUNTIFS(Schedule!$C$2:$C$200,"PP1",Schedule!$F$2:$F$200,"Mandie")+COUNTIFS(Schedule!$C$2:$C$200,"PP1",Schedule!$G$2:$G$200,"Mandie")+COUNTIFS(Schedule!$C$2:$C$200,"PP1",Schedule!$H$2:$H$200,"Mandie")+COUNTIFS(Schedule!$C$2:$C$200,"PP1",Schedule!$I$2:$I$200,"Mandie")+COUNTIFS(Schedule!$C$2:$C$200,"PP1",Schedule!$J$2:$J$200,"Mandie")</f>
        <v>5</v>
      </c>
      <c r="X8">
        <f>COUNTIFS(Schedule!$C$2:$C$200,"PP1",Schedule!$D$2:$D$200,"Caroline")+COUNTIFS(Schedule!$C$2:$C$200,"PP1",Schedule!$E$2:$E$200,"Caroline")+COUNTIFS(Schedule!$C$2:$C$200,"PP1",Schedule!$F$2:$F$200,"Caroline")+COUNTIFS(Schedule!$C$2:$C$200,"PP1",Schedule!$G$2:$G$200,"Caroline")+COUNTIFS(Schedule!$C$2:$C$200,"PP1",Schedule!$H$2:$H$200,"Caroline")+COUNTIFS(Schedule!$C$2:$C$200,"PP1",Schedule!$I$2:$I$200,"Caroline")+COUNTIFS(Schedule!$C$2:$C$200,"PP1",Schedule!$J$2:$J$200,"Caroline")</f>
        <v>4</v>
      </c>
      <c r="Y8">
        <f>COUNTIFS(Schedule!$C$2:$C$200,"PP1",Schedule!$D$2:$D$200,"Kristin")+COUNTIFS(Schedule!$C$2:$C$200,"PP1",Schedule!$E$2:$E$200,"Kristin")+COUNTIFS(Schedule!$C$2:$C$200,"PP1",Schedule!$F$2:$F$200,"Kristin")+COUNTIFS(Schedule!$C$2:$C$200,"PP1",Schedule!$G$2:$G$200,"Kristin")+COUNTIFS(Schedule!$C$2:$C$200,"PP1",Schedule!$H$2:$H$200,"Kristin")+COUNTIFS(Schedule!$C$2:$C$200,"PP1",Schedule!$I$2:$I$200,"Kristin")+COUNTIFS(Schedule!$C$2:$C$200,"PP1",Schedule!$J$2:$J$200,"Kristin")</f>
        <v>4</v>
      </c>
      <c r="Z8">
        <f>COUNTIFS(Schedule!$C$2:$C$200,"PP1",Schedule!$D$2:$D$200,"Radha")+COUNTIFS(Schedule!$C$2:$C$200,"PP1",Schedule!$E$2:$E$200,"Radha")+COUNTIFS(Schedule!$C$2:$C$200,"PP1",Schedule!$F$2:$F$200,"Radha")+COUNTIFS(Schedule!$C$2:$C$200,"PP1",Schedule!$G$2:$G$200,"Radha")+COUNTIFS(Schedule!$C$2:$C$200,"PP1",Schedule!$H$2:$H$200,"Radha")+COUNTIFS(Schedule!$C$2:$C$200,"PP1",Schedule!$I$2:$I$200,"Radha")+COUNTIFS(Schedule!$C$2:$C$200,"PP1",Schedule!$J$2:$J$200,"Radha")</f>
        <v>6</v>
      </c>
      <c r="AA8">
        <f>COUNTIFS(Schedule!$C$2:$C$200,"PP1",Schedule!$D$2:$D$200,"Jamie")+COUNTIFS(Schedule!$C$2:$C$200,"PP1",Schedule!$E$2:$E$200,"Jamie")+COUNTIFS(Schedule!$C$2:$C$200,"PP1",Schedule!$F$2:$F$200,"Jamie")+COUNTIFS(Schedule!$C$2:$C$200,"PP1",Schedule!$G$2:$G$200,"Jamie")+COUNTIFS(Schedule!$C$2:$C$200,"PP1",Schedule!$H$2:$H$200,"Jamie")+COUNTIFS(Schedule!$C$2:$C$200,"PP1",Schedule!$I$2:$I$200,"Jamie")+COUNTIFS(Schedule!$C$2:$C$200,"PP1",Schedule!$J$2:$J$200,"Jamie")</f>
        <v>0</v>
      </c>
      <c r="AB8">
        <f>COUNTIFS(Schedule!$C$2:$C$200,"PP1",Schedule!$D$2:$D$200,"Todd")+COUNTIFS(Schedule!$C$2:$C$200,"PP1",Schedule!$E$2:$E$200,"Todd")+COUNTIFS(Schedule!$C$2:$C$200,"PP1",Schedule!$F$2:$F$200,"Todd")+COUNTIFS(Schedule!$C$2:$C$200,"PP1",Schedule!$G$2:$G$200,"Todd")+COUNTIFS(Schedule!$C$2:$C$200,"PP1",Schedule!$H$2:$H$200,"Todd")+COUNTIFS(Schedule!$C$2:$C$200,"PP1",Schedule!$I$2:$I$200,"Todd")+COUNTIFS(Schedule!$C$2:$C$200,"PP1",Schedule!$J$2:$J$200,"Todd")</f>
        <v>6</v>
      </c>
      <c r="AC8">
        <f>COUNTIFS(Schedule!$C$2:$C$200,"PP1",Schedule!$D$2:$D$200,"Matt")+COUNTIFS(Schedule!$C$2:$C$200,"PP1",Schedule!$E$2:$E$200,"Matt")+COUNTIFS(Schedule!$C$2:$C$200,"PP1",Schedule!$F$2:$F$200,"Matt")+COUNTIFS(Schedule!$C$2:$C$200,"PP1",Schedule!$G$2:$G$200,"Matt")+COUNTIFS(Schedule!$C$2:$C$200,"PP1",Schedule!$H$2:$H$200,"Matt")+COUNTIFS(Schedule!$C$2:$C$200,"PP1",Schedule!$I$2:$I$200,"Matt")+COUNTIFS(Schedule!$C$2:$C$200,"PP1",Schedule!$J$2:$J$200,"Matt")</f>
        <v>0</v>
      </c>
      <c r="AD8">
        <f>COUNTIFS(Schedule!$C$2:$C$200,"PP1",Schedule!$D$2:$D$200,"Jen")+COUNTIFS(Schedule!$C$2:$C$200,"PP1",Schedule!$E$2:$E$200,"Jen")+COUNTIFS(Schedule!$C$2:$C$200,"PP1",Schedule!$F$2:$F$200,"Jen")+COUNTIFS(Schedule!$C$2:$C$200,"PP1",Schedule!$G$2:$G$200,"Jen")+COUNTIFS(Schedule!$C$2:$C$200,"PP1",Schedule!$H$2:$H$200,"Jen")+COUNTIFS(Schedule!$C$2:$C$200,"PP1",Schedule!$I$2:$I$200,"Jen")+COUNTIFS(Schedule!$C$2:$C$200,"PP1",Schedule!$J$2:$J$200,"Jen")</f>
        <v>0</v>
      </c>
      <c r="AE8">
        <f>COUNTIFS(Schedule!$C$2:$C$200,"PP1",Schedule!$D$2:$D$200,"Kennedy")+COUNTIFS(Schedule!$C$2:$C$200,"PP1",Schedule!$E$2:$E$200,"Kennedy")+COUNTIFS(Schedule!$C$2:$C$200,"PP1",Schedule!$F$2:$F$200,"Kennedy")+COUNTIFS(Schedule!$C$2:$C$200,"PP1",Schedule!$G$2:$G$200,"Kennedy")+COUNTIFS(Schedule!$C$2:$C$200,"PP1",Schedule!$H$2:$H$200,"Kennedy")+COUNTIFS(Schedule!$C$2:$C$200,"PP1",Schedule!$I$2:$I$200,"Kennedy")+COUNTIFS(Schedule!$C$2:$C$200,"PP1",Schedule!$J$2:$J$200,"Kennedy")</f>
        <v>0</v>
      </c>
      <c r="AF8">
        <f>COUNTIFS(Schedule!$C$2:$C$200,"PP1",Schedule!$D$2:$D$200,"Preet")+COUNTIFS(Schedule!$C$2:$C$200,"PP1",Schedule!$E$2:$E$200,"Preet")+COUNTIFS(Schedule!$C$2:$C$200,"PP1",Schedule!$F$2:$F$200,"Preet")+COUNTIFS(Schedule!$C$2:$C$200,"PP1",Schedule!$G$2:$G$200,"Preet")+COUNTIFS(Schedule!$C$2:$C$200,"PP1",Schedule!$H$2:$H$200,"Preet")+COUNTIFS(Schedule!$C$2:$C$200,"PP1",Schedule!$I$2:$I$200,"Preet")+COUNTIFS(Schedule!$C$2:$C$200,"PP1",Schedule!$J$2:$J$200,"Preet")</f>
        <v>0</v>
      </c>
      <c r="AG8">
        <f>COUNTIFS(Schedule!$C$2:$C$200,"PP1",Schedule!$D$2:$D$200,"Rose")+COUNTIFS(Schedule!$C$2:$C$200,"PP1",Schedule!$E$2:$E$200,"Rose")+COUNTIFS(Schedule!$C$2:$C$200,"PP1",Schedule!$F$2:$F$200,"Rose")+COUNTIFS(Schedule!$C$2:$C$200,"PP1",Schedule!$G$2:$G$200,"Rose")+COUNTIFS(Schedule!$C$2:$C$200,"PP1",Schedule!$H$2:$H$200,"Rose")+COUNTIFS(Schedule!$C$2:$C$200,"PP1",Schedule!$I$2:$I$200,"Rose")+COUNTIFS(Schedule!$C$2:$C$200,"PP1",Schedule!$J$2:$J$200,"Rose")</f>
        <v>0</v>
      </c>
      <c r="AH8">
        <f>COUNTIFS(Schedule!$C$2:$C$200,"PP1",Schedule!$D$2:$D$200,"Katia")+COUNTIFS(Schedule!$C$2:$C$200,"PP1",Schedule!$E$2:$E$200,"Katia")+COUNTIFS(Schedule!$C$2:$C$200,"PP1",Schedule!$F$2:$F$200,"Katia")+COUNTIFS(Schedule!$C$2:$C$200,"PP1",Schedule!$G$2:$G$200,"Katia")+COUNTIFS(Schedule!$C$2:$C$200,"PP1",Schedule!$H$2:$H$200,"Katia")+COUNTIFS(Schedule!$C$2:$C$200,"PP1",Schedule!$I$2:$I$200,"Katia")+COUNTIFS(Schedule!$C$2:$C$200,"PP1",Schedule!$J$2:$J$200,"Katia")</f>
        <v>0</v>
      </c>
    </row>
    <row r="9" spans="1:34" ht="16" customHeight="1" x14ac:dyDescent="0.35">
      <c r="A9" s="24" t="s">
        <v>62</v>
      </c>
      <c r="B9" s="25">
        <v>17</v>
      </c>
      <c r="C9" s="25">
        <v>19</v>
      </c>
      <c r="D9" s="25">
        <v>15</v>
      </c>
      <c r="E9" s="25">
        <v>17</v>
      </c>
      <c r="F9" s="25">
        <v>26</v>
      </c>
      <c r="G9" s="25">
        <v>22</v>
      </c>
      <c r="H9" s="25">
        <v>16</v>
      </c>
      <c r="I9" s="25">
        <v>32</v>
      </c>
      <c r="J9" s="25">
        <v>61</v>
      </c>
      <c r="K9" s="25">
        <v>17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S9">
        <f>COUNTIFS(Schedule!$C$2:$C$200,"PP2",Schedule!$D$2:$D$200,"Katie")+COUNTIFS(Schedule!$C$2:$C$200,"PP2",Schedule!$E$2:$E$200,"Katie")+COUNTIFS(Schedule!$C$2:$C$200,"PP2",Schedule!$F$2:$F$200,"Katie")+COUNTIFS(Schedule!$C$2:$C$200,"PP2",Schedule!$G$2:$G$200,"Katie")+COUNTIFS(Schedule!$C$2:$C$200,"PP2",Schedule!$H$2:$H$200,"Katie")+COUNTIFS(Schedule!$C$2:$C$200,"PP2",Schedule!$I$2:$I$200,"Katie")+COUNTIFS(Schedule!$C$2:$C$200,"PP2",Schedule!$J$2:$J$200,"Katie")</f>
        <v>6</v>
      </c>
      <c r="T9">
        <f>COUNTIFS(Schedule!$C$2:$C$200,"PP2",Schedule!$D$2:$D$200,"Hayden")+COUNTIFS(Schedule!$C$2:$C$200,"PP2",Schedule!$E$2:$E$200,"Hayden")+COUNTIFS(Schedule!$C$2:$C$200,"PP2",Schedule!$F$2:$F$200,"Hayden")+COUNTIFS(Schedule!$C$2:$C$200,"PP2",Schedule!$G$2:$G$200,"Hayden")+COUNTIFS(Schedule!$C$2:$C$200,"PP2",Schedule!$H$2:$H$200,"Hayden")+COUNTIFS(Schedule!$C$2:$C$200,"PP2",Schedule!$I$2:$I$200,"Hayden")+COUNTIFS(Schedule!$C$2:$C$200,"PP2",Schedule!$J$2:$J$200,"Hayden")</f>
        <v>5</v>
      </c>
      <c r="U9">
        <f>COUNTIFS(Schedule!$C$2:$C$200,"PP2",Schedule!$D$2:$D$200,"John")+COUNTIFS(Schedule!$C$2:$C$200,"PP2",Schedule!$E$2:$E$200,"John")+COUNTIFS(Schedule!$C$2:$C$200,"PP2",Schedule!$F$2:$F$200,"John")+COUNTIFS(Schedule!$C$2:$C$200,"PP2",Schedule!$G$2:$G$200,"John")+COUNTIFS(Schedule!$C$2:$C$200,"PP2",Schedule!$H$2:$H$200,"John")+COUNTIFS(Schedule!$C$2:$C$200,"PP2",Schedule!$I$2:$I$200,"John")+COUNTIFS(Schedule!$C$2:$C$200,"PP2",Schedule!$J$2:$J$200,"John")</f>
        <v>6</v>
      </c>
      <c r="V9">
        <f>COUNTIFS(Schedule!$C$2:$C$200,"PP2",Schedule!$D$2:$D$200,"Maureen")+COUNTIFS(Schedule!$C$2:$C$200,"PP2",Schedule!$E$2:$E$200,"Maureen")+COUNTIFS(Schedule!$C$2:$C$200,"PP2",Schedule!$F$2:$F$200,"Maureen")+COUNTIFS(Schedule!$C$2:$C$200,"PP2",Schedule!$G$2:$G$200,"Maureen")+COUNTIFS(Schedule!$C$2:$C$200,"PP2",Schedule!$H$2:$H$200,"Maureen")+COUNTIFS(Schedule!$C$2:$C$200,"PP2",Schedule!$I$2:$I$200,"Maureen")+COUNTIFS(Schedule!$C$2:$C$200,"PP2",Schedule!$J$2:$J$200,"Maureen")</f>
        <v>5</v>
      </c>
      <c r="W9">
        <f>COUNTIFS(Schedule!$C$2:$C$200,"PP2",Schedule!$D$2:$D$200,"Mandie")+COUNTIFS(Schedule!$C$2:$C$200,"PP2",Schedule!$E$2:$E$200,"Mandie")+COUNTIFS(Schedule!$C$2:$C$200,"PP2",Schedule!$F$2:$F$200,"Mandie")+COUNTIFS(Schedule!$C$2:$C$200,"PP2",Schedule!$G$2:$G$200,"Mandie")+COUNTIFS(Schedule!$C$2:$C$200,"PP2",Schedule!$H$2:$H$200,"Mandie")+COUNTIFS(Schedule!$C$2:$C$200,"PP2",Schedule!$I$2:$I$200,"Mandie")+COUNTIFS(Schedule!$C$2:$C$200,"PP2",Schedule!$J$2:$J$200,"Mandie")</f>
        <v>5</v>
      </c>
      <c r="X9">
        <f>COUNTIFS(Schedule!$C$2:$C$200,"PP2",Schedule!$D$2:$D$200,"Caroline")+COUNTIFS(Schedule!$C$2:$C$200,"PP2",Schedule!$E$2:$E$200,"Caroline")+COUNTIFS(Schedule!$C$2:$C$200,"PP2",Schedule!$F$2:$F$200,"Caroline")+COUNTIFS(Schedule!$C$2:$C$200,"PP2",Schedule!$G$2:$G$200,"Caroline")+COUNTIFS(Schedule!$C$2:$C$200,"PP2",Schedule!$H$2:$H$200,"Caroline")+COUNTIFS(Schedule!$C$2:$C$200,"PP2",Schedule!$I$2:$I$200,"Caroline")+COUNTIFS(Schedule!$C$2:$C$200,"PP2",Schedule!$J$2:$J$200,"Caroline")</f>
        <v>6</v>
      </c>
      <c r="Y9">
        <f>COUNTIFS(Schedule!$C$2:$C$200,"PP2",Schedule!$D$2:$D$200,"Kristin")+COUNTIFS(Schedule!$C$2:$C$200,"PP2",Schedule!$E$2:$E$200,"Kristin")+COUNTIFS(Schedule!$C$2:$C$200,"PP2",Schedule!$F$2:$F$200,"Kristin")+COUNTIFS(Schedule!$C$2:$C$200,"PP2",Schedule!$G$2:$G$200,"Kristin")+COUNTIFS(Schedule!$C$2:$C$200,"PP2",Schedule!$H$2:$H$200,"Kristin")+COUNTIFS(Schedule!$C$2:$C$200,"PP2",Schedule!$I$2:$I$200,"Kristin")+COUNTIFS(Schedule!$C$2:$C$200,"PP2",Schedule!$J$2:$J$200,"Kristin")</f>
        <v>5</v>
      </c>
      <c r="Z9">
        <f>COUNTIFS(Schedule!$C$2:$C$200,"PP2",Schedule!$D$2:$D$200,"Radha")+COUNTIFS(Schedule!$C$2:$C$200,"PP2",Schedule!$E$2:$E$200,"Radha")+COUNTIFS(Schedule!$C$2:$C$200,"PP2",Schedule!$F$2:$F$200,"Radha")+COUNTIFS(Schedule!$C$2:$C$200,"PP2",Schedule!$G$2:$G$200,"Radha")+COUNTIFS(Schedule!$C$2:$C$200,"PP2",Schedule!$H$2:$H$200,"Radha")+COUNTIFS(Schedule!$C$2:$C$200,"PP2",Schedule!$I$2:$I$200,"Radha")+COUNTIFS(Schedule!$C$2:$C$200,"PP2",Schedule!$J$2:$J$200,"Radha")</f>
        <v>5</v>
      </c>
      <c r="AA9">
        <f>COUNTIFS(Schedule!$C$2:$C$200,"PP2",Schedule!$D$2:$D$200,"Jamie")+COUNTIFS(Schedule!$C$2:$C$200,"PP2",Schedule!$E$2:$E$200,"Jamie")+COUNTIFS(Schedule!$C$2:$C$200,"PP2",Schedule!$F$2:$F$200,"Jamie")+COUNTIFS(Schedule!$C$2:$C$200,"PP2",Schedule!$G$2:$G$200,"Jamie")+COUNTIFS(Schedule!$C$2:$C$200,"PP2",Schedule!$H$2:$H$200,"Jamie")+COUNTIFS(Schedule!$C$2:$C$200,"PP2",Schedule!$I$2:$I$200,"Jamie")+COUNTIFS(Schedule!$C$2:$C$200,"PP2",Schedule!$J$2:$J$200,"Jamie")</f>
        <v>0</v>
      </c>
      <c r="AB9">
        <f>COUNTIFS(Schedule!$C$2:$C$200,"PP2",Schedule!$D$2:$D$200,"Todd")+COUNTIFS(Schedule!$C$2:$C$200,"PP2",Schedule!$E$2:$E$200,"Todd")+COUNTIFS(Schedule!$C$2:$C$200,"PP2",Schedule!$F$2:$F$200,"Todd")+COUNTIFS(Schedule!$C$2:$C$200,"PP2",Schedule!$G$2:$G$200,"Todd")+COUNTIFS(Schedule!$C$2:$C$200,"PP2",Schedule!$H$2:$H$200,"Todd")+COUNTIFS(Schedule!$C$2:$C$200,"PP2",Schedule!$I$2:$I$200,"Todd")+COUNTIFS(Schedule!$C$2:$C$200,"PP2",Schedule!$J$2:$J$200,"Todd")</f>
        <v>5</v>
      </c>
      <c r="AC9">
        <f>COUNTIFS(Schedule!$C$2:$C$200,"PP2",Schedule!$D$2:$D$200,"Matt")+COUNTIFS(Schedule!$C$2:$C$200,"PP2",Schedule!$E$2:$E$200,"Matt")+COUNTIFS(Schedule!$C$2:$C$200,"PP2",Schedule!$F$2:$F$200,"Matt")+COUNTIFS(Schedule!$C$2:$C$200,"PP2",Schedule!$G$2:$G$200,"Matt")+COUNTIFS(Schedule!$C$2:$C$200,"PP2",Schedule!$H$2:$H$200,"Matt")+COUNTIFS(Schedule!$C$2:$C$200,"PP2",Schedule!$I$2:$I$200,"Matt")+COUNTIFS(Schedule!$C$2:$C$200,"PP2",Schedule!$J$2:$J$200,"Matt")</f>
        <v>0</v>
      </c>
      <c r="AD9">
        <f>COUNTIFS(Schedule!$C$2:$C$200,"PP2",Schedule!$D$2:$D$200,"Jen")+COUNTIFS(Schedule!$C$2:$C$200,"PP2",Schedule!$E$2:$E$200,"Jen")+COUNTIFS(Schedule!$C$2:$C$200,"PP2",Schedule!$F$2:$F$200,"Jen")+COUNTIFS(Schedule!$C$2:$C$200,"PP2",Schedule!$G$2:$G$200,"Jen")+COUNTIFS(Schedule!$C$2:$C$200,"PP2",Schedule!$H$2:$H$200,"Jen")+COUNTIFS(Schedule!$C$2:$C$200,"PP2",Schedule!$I$2:$I$200,"Jen")+COUNTIFS(Schedule!$C$2:$C$200,"PP2",Schedule!$J$2:$J$200,"Jen")</f>
        <v>0</v>
      </c>
      <c r="AE9">
        <f>COUNTIFS(Schedule!$C$2:$C$200,"PP2",Schedule!$D$2:$D$200,"Kennedy")+COUNTIFS(Schedule!$C$2:$C$200,"PP2",Schedule!$E$2:$E$200,"Kennedy")+COUNTIFS(Schedule!$C$2:$C$200,"PP2",Schedule!$F$2:$F$200,"Kennedy")+COUNTIFS(Schedule!$C$2:$C$200,"PP2",Schedule!$G$2:$G$200,"Kennedy")+COUNTIFS(Schedule!$C$2:$C$200,"PP2",Schedule!$H$2:$H$200,"Kennedy")+COUNTIFS(Schedule!$C$2:$C$200,"PP2",Schedule!$I$2:$I$200,"Kennedy")+COUNTIFS(Schedule!$C$2:$C$200,"PP2",Schedule!$J$2:$J$200,"Kennedy")</f>
        <v>0</v>
      </c>
      <c r="AF9">
        <f>COUNTIFS(Schedule!$C$2:$C$200,"PP2",Schedule!$D$2:$D$200,"Preet")+COUNTIFS(Schedule!$C$2:$C$200,"PP2",Schedule!$E$2:$E$200,"Preet")+COUNTIFS(Schedule!$C$2:$C$200,"PP2",Schedule!$F$2:$F$200,"Preet")+COUNTIFS(Schedule!$C$2:$C$200,"PP2",Schedule!$G$2:$G$200,"Preet")+COUNTIFS(Schedule!$C$2:$C$200,"PP2",Schedule!$H$2:$H$200,"Preet")+COUNTIFS(Schedule!$C$2:$C$200,"PP2",Schedule!$I$2:$I$200,"Preet")+COUNTIFS(Schedule!$C$2:$C$200,"PP2",Schedule!$J$2:$J$200,"Preet")</f>
        <v>0</v>
      </c>
      <c r="AG9">
        <f>COUNTIFS(Schedule!$C$2:$C$200,"PP2",Schedule!$D$2:$D$200,"Rose")+COUNTIFS(Schedule!$C$2:$C$200,"PP2",Schedule!$E$2:$E$200,"Rose")+COUNTIFS(Schedule!$C$2:$C$200,"PP2",Schedule!$F$2:$F$200,"Rose")+COUNTIFS(Schedule!$C$2:$C$200,"PP2",Schedule!$G$2:$G$200,"Rose")+COUNTIFS(Schedule!$C$2:$C$200,"PP2",Schedule!$H$2:$H$200,"Rose")+COUNTIFS(Schedule!$C$2:$C$200,"PP2",Schedule!$I$2:$I$200,"Rose")+COUNTIFS(Schedule!$C$2:$C$200,"PP2",Schedule!$J$2:$J$200,"Rose")</f>
        <v>0</v>
      </c>
      <c r="AH9">
        <f>COUNTIFS(Schedule!$C$2:$C$200,"PP2",Schedule!$D$2:$D$200,"Katia")+COUNTIFS(Schedule!$C$2:$C$200,"PP2",Schedule!$E$2:$E$200,"Katia")+COUNTIFS(Schedule!$C$2:$C$200,"PP2",Schedule!$F$2:$F$200,"Katia")+COUNTIFS(Schedule!$C$2:$C$200,"PP2",Schedule!$G$2:$G$200,"Katia")+COUNTIFS(Schedule!$C$2:$C$200,"PP2",Schedule!$H$2:$H$200,"Katia")+COUNTIFS(Schedule!$C$2:$C$200,"PP2",Schedule!$I$2:$I$200,"Katia")+COUNTIFS(Schedule!$C$2:$C$200,"PP2",Schedule!$J$2:$J$200,"Katia")</f>
        <v>0</v>
      </c>
    </row>
    <row r="10" spans="1:34" ht="16" customHeight="1" x14ac:dyDescent="0.35">
      <c r="A10" s="22" t="s">
        <v>63</v>
      </c>
      <c r="B10" s="21">
        <f>MAX(COUNTIFS(Schedule!$C$2:$C$200,"PP1",Schedule!$K$2:$K$200,"PTO"),0)+MAX(COUNTIFS(Schedule!$C$2:$C$200,"PP2",Schedule!$K$2:$K$200,"PTO"),0)+MAX(COUNTIFS(Schedule!$C$2:$C$200,"PP3",Schedule!$K$2:$K$200,"PTO"),0)+MAX(COUNTIFS(Schedule!$C$2:$C$200,"PP4",Schedule!$K$2:$K$200,"PTO"),1)+MAX(COUNTIFS(Schedule!$C$2:$C$200,"PP5",Schedule!$K$2:$K$200,"PTO"),0)+MAX(COUNTIFS(Schedule!$C$2:$C$200,"PP6",Schedule!$K$2:$K$200,"PTO"),0)+MAX(COUNTIFS(Schedule!$C$2:$C$200,"PP7",Schedule!$K$2:$K$200,"PTO"),0)</f>
        <v>1</v>
      </c>
      <c r="C10" s="21">
        <f>MAX(COUNTIFS(Schedule!$C$2:$C$200,"PP1",Schedule!$L$2:$L$200,"PTO"),1)+MAX(COUNTIFS(Schedule!$C$2:$C$200,"PP2",Schedule!$L$2:$L$200,"PTO"),0)+MAX(COUNTIFS(Schedule!$C$2:$C$200,"PP3",Schedule!$L$2:$L$200,"PTO"),0)+MAX(COUNTIFS(Schedule!$C$2:$C$200,"PP4",Schedule!$L$2:$L$200,"PTO"),0)+MAX(COUNTIFS(Schedule!$C$2:$C$200,"PP5",Schedule!$L$2:$L$200,"PTO"),1)+MAX(COUNTIFS(Schedule!$C$2:$C$200,"PP6",Schedule!$L$2:$L$200,"PTO"),0)+MAX(COUNTIFS(Schedule!$C$2:$C$200,"PP7",Schedule!$L$2:$L$200,"PTO"),0)</f>
        <v>2</v>
      </c>
      <c r="D10" s="21">
        <f>MAX(COUNTIFS(Schedule!$C$2:$C$200,"PP1",Schedule!$M$2:$M$200,"PTO"),0)+MAX(COUNTIFS(Schedule!$C$2:$C$200,"PP2",Schedule!$M$2:$M$200,"PTO"),0)+MAX(COUNTIFS(Schedule!$C$2:$C$200,"PP3",Schedule!$M$2:$M$200,"PTO"),0)+MAX(COUNTIFS(Schedule!$C$2:$C$200,"PP4",Schedule!$M$2:$M$200,"PTO"),0)+MAX(COUNTIFS(Schedule!$C$2:$C$200,"PP5",Schedule!$M$2:$M$200,"PTO"),0)+MAX(COUNTIFS(Schedule!$C$2:$C$200,"PP6",Schedule!$M$2:$M$200,"PTO"),0)+MAX(COUNTIFS(Schedule!$C$2:$C$200,"PP7",Schedule!$M$2:$M$200,"PTO"),0)</f>
        <v>0</v>
      </c>
      <c r="E10" s="21">
        <f>MAX(COUNTIFS(Schedule!$C$2:$C$200,"PP1",Schedule!$N$2:$N$200,"PTO"),0)+MAX(COUNTIFS(Schedule!$C$2:$C$200,"PP2",Schedule!$N$2:$N$200,"PTO"),0)+MAX(COUNTIFS(Schedule!$C$2:$C$200,"PP3",Schedule!$N$2:$N$200,"PTO"),0)+MAX(COUNTIFS(Schedule!$C$2:$C$200,"PP4",Schedule!$N$2:$N$200,"PTO"),0)+MAX(COUNTIFS(Schedule!$C$2:$C$200,"PP5",Schedule!$N$2:$N$200,"PTO"),2)+MAX(COUNTIFS(Schedule!$C$2:$C$200,"PP6",Schedule!$N$2:$N$200,"PTO"),0)+MAX(COUNTIFS(Schedule!$C$2:$C$200,"PP7",Schedule!$N$2:$N$200,"PTO"),0)</f>
        <v>2</v>
      </c>
      <c r="F10" s="21">
        <f>MAX(COUNTIFS(Schedule!$C$2:$C$200,"PP1",Schedule!$O$2:$O$200,"PTO"),1)+MAX(COUNTIFS(Schedule!$C$2:$C$200,"PP2",Schedule!$O$2:$O$200,"PTO"),0)+MAX(COUNTIFS(Schedule!$C$2:$C$200,"PP3",Schedule!$O$2:$O$200,"PTO"),0)+MAX(COUNTIFS(Schedule!$C$2:$C$200,"PP4",Schedule!$O$2:$O$200,"PTO"),0)+MAX(COUNTIFS(Schedule!$C$2:$C$200,"PP5",Schedule!$O$2:$O$200,"PTO"),2)+MAX(COUNTIFS(Schedule!$C$2:$C$200,"PP6",Schedule!$O$2:$O$200,"PTO"),0)+MAX(COUNTIFS(Schedule!$C$2:$C$200,"PP7",Schedule!$O$2:$O$200,"PTO"),0)</f>
        <v>3</v>
      </c>
      <c r="G10" s="21">
        <f>MAX(COUNTIFS(Schedule!$C$2:$C$200,"PP1",Schedule!$P$2:$P$200,"PTO"),0)+MAX(COUNTIFS(Schedule!$C$2:$C$200,"PP2",Schedule!$P$2:$P$200,"PTO"),1)+MAX(COUNTIFS(Schedule!$C$2:$C$200,"PP3",Schedule!$P$2:$P$200,"PTO"),2)+MAX(COUNTIFS(Schedule!$C$2:$C$200,"PP4",Schedule!$P$2:$P$200,"PTO"),0)+MAX(COUNTIFS(Schedule!$C$2:$C$200,"PP5",Schedule!$P$2:$P$200,"PTO"),2)+MAX(COUNTIFS(Schedule!$C$2:$C$200,"PP6",Schedule!$P$2:$P$200,"PTO"),0)+MAX(COUNTIFS(Schedule!$C$2:$C$200,"PP7",Schedule!$P$2:$P$200,"PTO"),0)</f>
        <v>5</v>
      </c>
      <c r="H10" s="21">
        <f>MAX(COUNTIFS(Schedule!$C$2:$C$200,"PP1",Schedule!$Q$2:$Q$200,"PTO"),0)+MAX(COUNTIFS(Schedule!$C$2:$C$200,"PP2",Schedule!$Q$2:$Q$200,"PTO"),0)+MAX(COUNTIFS(Schedule!$C$2:$C$200,"PP3",Schedule!$Q$2:$Q$200,"PTO"),0)+MAX(COUNTIFS(Schedule!$C$2:$C$200,"PP4",Schedule!$Q$2:$Q$200,"PTO"),0)+MAX(COUNTIFS(Schedule!$C$2:$C$200,"PP5",Schedule!$Q$2:$Q$200,"PTO"),0)+MAX(COUNTIFS(Schedule!$C$2:$C$200,"PP6",Schedule!$Q$2:$Q$200,"PTO"),0)+MAX(COUNTIFS(Schedule!$C$2:$C$200,"PP7",Schedule!$Q$2:$Q$200,"PTO"),0)</f>
        <v>0</v>
      </c>
      <c r="I10" s="21">
        <f>MAX(COUNTIFS(Schedule!$C$2:$C$200,"PP1",Schedule!$R$2:$R$200,"PTO"),0)+MAX(COUNTIFS(Schedule!$C$2:$C$200,"PP2",Schedule!$R$2:$R$200,"PTO"),1)+MAX(COUNTIFS(Schedule!$C$2:$C$200,"PP3",Schedule!$R$2:$R$200,"PTO"),0)+MAX(COUNTIFS(Schedule!$C$2:$C$200,"PP4",Schedule!$R$2:$R$200,"PTO"),0)+MAX(COUNTIFS(Schedule!$C$2:$C$200,"PP5",Schedule!$R$2:$R$200,"PTO"),1)+MAX(COUNTIFS(Schedule!$C$2:$C$200,"PP6",Schedule!$R$2:$R$200,"PTO"),0)+MAX(COUNTIFS(Schedule!$C$2:$C$200,"PP7",Schedule!$R$2:$R$200,"PTO"),2)</f>
        <v>5</v>
      </c>
      <c r="J10" s="21">
        <f>MAX(COUNTIFS(Schedule!$C$2:$C$200,"PP1",Schedule!$S$2:$S$200,"PTO"),6)+MAX(COUNTIFS(Schedule!$C$2:$C$200,"PP2",Schedule!$S$2:$S$200,"PTO"),6)+MAX(COUNTIFS(Schedule!$C$2:$C$200,"PP3",Schedule!$S$2:$S$200,"PTO"),6)+MAX(COUNTIFS(Schedule!$C$2:$C$200,"PP4",Schedule!$S$2:$S$200,"PTO"),6)+MAX(COUNTIFS(Schedule!$C$2:$C$200,"PP5",Schedule!$S$2:$S$200,"PTO"),1)+MAX(COUNTIFS(Schedule!$C$2:$C$200,"PP6",Schedule!$S$2:$S$200,"PTO"),0)+MAX(COUNTIFS(Schedule!$C$2:$C$200,"PP7",Schedule!$S$2:$S$200,"PTO"),0)</f>
        <v>25</v>
      </c>
      <c r="K10" s="21">
        <f>MAX(COUNTIFS(Schedule!$C$2:$C$200,"PP1",Schedule!$T$2:$T$200,"PTO"),0)+MAX(COUNTIFS(Schedule!$C$2:$C$200,"PP2",Schedule!$T$2:$T$200,"PTO"),0)+MAX(COUNTIFS(Schedule!$C$2:$C$200,"PP3",Schedule!$T$2:$T$200,"PTO"),1)+MAX(COUNTIFS(Schedule!$C$2:$C$200,"PP4",Schedule!$T$2:$T$200,"PTO"),0)+MAX(COUNTIFS(Schedule!$C$2:$C$200,"PP5",Schedule!$T$2:$T$200,"PTO"),0)+MAX(COUNTIFS(Schedule!$C$2:$C$200,"PP6",Schedule!$T$2:$T$200,"PTO"),0)+MAX(COUNTIFS(Schedule!$C$2:$C$200,"PP7",Schedule!$T$2:$T$200,"PTO"),0)</f>
        <v>1</v>
      </c>
      <c r="L10" s="21">
        <f>MAX(COUNTIFS(Schedule!$C$2:$C$200,"PP1",Schedule!$U$2:$U$200,"PTO"),0)+MAX(COUNTIFS(Schedule!$C$2:$C$200,"PP2",Schedule!$U$2:$U$200,"PTO"),0)+MAX(COUNTIFS(Schedule!$C$2:$C$200,"PP3",Schedule!$U$2:$U$200,"PTO"),0)+MAX(COUNTIFS(Schedule!$C$2:$C$200,"PP4",Schedule!$U$2:$U$200,"PTO"),0)+MAX(COUNTIFS(Schedule!$C$2:$C$200,"PP5",Schedule!$U$2:$U$200,"PTO"),0)+MAX(COUNTIFS(Schedule!$C$2:$C$200,"PP6",Schedule!$U$2:$U$200,"PTO"),0)+MAX(COUNTIFS(Schedule!$C$2:$C$200,"PP7",Schedule!$U$2:$U$200,"PTO"),0)</f>
        <v>0</v>
      </c>
      <c r="M10" s="21">
        <f>MAX(COUNTIFS(Schedule!$C$2:$C$200,"PP1",Schedule!$V$2:$V$200,"PTO"),0)+MAX(COUNTIFS(Schedule!$C$2:$C$200,"PP2",Schedule!$V$2:$V$200,"PTO"),0)+MAX(COUNTIFS(Schedule!$C$2:$C$200,"PP3",Schedule!$V$2:$V$200,"PTO"),0)+MAX(COUNTIFS(Schedule!$C$2:$C$200,"PP4",Schedule!$V$2:$V$200,"PTO"),0)+MAX(COUNTIFS(Schedule!$C$2:$C$200,"PP5",Schedule!$V$2:$V$200,"PTO"),0)+MAX(COUNTIFS(Schedule!$C$2:$C$200,"PP6",Schedule!$V$2:$V$200,"PTO"),0)+MAX(COUNTIFS(Schedule!$C$2:$C$200,"PP7",Schedule!$V$2:$V$200,"PTO"),0)</f>
        <v>0</v>
      </c>
      <c r="N10" s="21">
        <f>MAX(COUNTIFS(Schedule!$C$2:$C$200,"PP1",Schedule!$W$2:$W$200,"PTO"),0)+MAX(COUNTIFS(Schedule!$C$2:$C$200,"PP2",Schedule!$W$2:$W$200,"PTO"),0)+MAX(COUNTIFS(Schedule!$C$2:$C$200,"PP3",Schedule!$W$2:$W$200,"PTO"),0)+MAX(COUNTIFS(Schedule!$C$2:$C$200,"PP4",Schedule!$W$2:$W$200,"PTO"),0)+MAX(COUNTIFS(Schedule!$C$2:$C$200,"PP5",Schedule!$W$2:$W$200,"PTO"),0)+MAX(COUNTIFS(Schedule!$C$2:$C$200,"PP6",Schedule!$W$2:$W$200,"PTO"),0)+MAX(COUNTIFS(Schedule!$C$2:$C$200,"PP7",Schedule!$W$2:$W$200,"PTO"),0)</f>
        <v>0</v>
      </c>
      <c r="O10" s="21">
        <f>MAX(COUNTIFS(Schedule!$C$2:$C$200,"PP1",Schedule!$X$2:$X$200,"PTO"),0)+MAX(COUNTIFS(Schedule!$C$2:$C$200,"PP2",Schedule!$X$2:$X$200,"PTO"),0)+MAX(COUNTIFS(Schedule!$C$2:$C$200,"PP3",Schedule!$X$2:$X$200,"PTO"),0)+MAX(COUNTIFS(Schedule!$C$2:$C$200,"PP4",Schedule!$X$2:$X$200,"PTO"),0)+MAX(COUNTIFS(Schedule!$C$2:$C$200,"PP5",Schedule!$X$2:$X$200,"PTO"),0)+MAX(COUNTIFS(Schedule!$C$2:$C$200,"PP6",Schedule!$X$2:$X$200,"PTO"),0)+MAX(COUNTIFS(Schedule!$C$2:$C$200,"PP7",Schedule!$X$2:$X$200,"PTO"),0)</f>
        <v>0</v>
      </c>
      <c r="P10" s="21">
        <f>MAX(COUNTIFS(Schedule!$C$2:$C$200,"PP1",Schedule!$Y$2:$Y$200,"PTO"),0)+MAX(COUNTIFS(Schedule!$C$2:$C$200,"PP2",Schedule!$Y$2:$Y$200,"PTO"),0)+MAX(COUNTIFS(Schedule!$C$2:$C$200,"PP3",Schedule!$Y$2:$Y$200,"PTO"),0)+MAX(COUNTIFS(Schedule!$C$2:$C$200,"PP4",Schedule!$Y$2:$Y$200,"PTO"),0)+MAX(COUNTIFS(Schedule!$C$2:$C$200,"PP5",Schedule!$Y$2:$Y$200,"PTO"),0)+MAX(COUNTIFS(Schedule!$C$2:$C$200,"PP6",Schedule!$Y$2:$Y$200,"PTO"),0)+MAX(COUNTIFS(Schedule!$C$2:$C$200,"PP7",Schedule!$Y$2:$Y$200,"PTO"),0)</f>
        <v>0</v>
      </c>
      <c r="Q10" s="21">
        <f>MAX(COUNTIFS(Schedule!$C$2:$C$200,"PP1",Schedule!$Z$2:$Z$200,"PTO"),0)+MAX(COUNTIFS(Schedule!$C$2:$C$200,"PP2",Schedule!$Z$2:$Z$200,"PTO"),0)+MAX(COUNTIFS(Schedule!$C$2:$C$200,"PP3",Schedule!$Z$2:$Z$200,"PTO"),0)+MAX(COUNTIFS(Schedule!$C$2:$C$200,"PP4",Schedule!$Z$2:$Z$200,"PTO"),0)+MAX(COUNTIFS(Schedule!$C$2:$C$200,"PP5",Schedule!$Z$2:$Z$200,"PTO"),0)+MAX(COUNTIFS(Schedule!$C$2:$C$200,"PP6",Schedule!$Z$2:$Z$200,"PTO"),0)+MAX(COUNTIFS(Schedule!$C$2:$C$200,"PP7",Schedule!$Z$2:$Z$200,"PTO"),0)</f>
        <v>0</v>
      </c>
      <c r="S10">
        <f>COUNTIFS(Schedule!$C$2:$C$200,"PP3",Schedule!$D$2:$D$200,"Katie")+COUNTIFS(Schedule!$C$2:$C$200,"PP3",Schedule!$E$2:$E$200,"Katie")+COUNTIFS(Schedule!$C$2:$C$200,"PP3",Schedule!$F$2:$F$200,"Katie")+COUNTIFS(Schedule!$C$2:$C$200,"PP3",Schedule!$G$2:$G$200,"Katie")+COUNTIFS(Schedule!$C$2:$C$200,"PP3",Schedule!$H$2:$H$200,"Katie")+COUNTIFS(Schedule!$C$2:$C$200,"PP3",Schedule!$I$2:$I$200,"Katie")+COUNTIFS(Schedule!$C$2:$C$200,"PP3",Schedule!$J$2:$J$200,"Katie")</f>
        <v>6</v>
      </c>
      <c r="T10">
        <f>COUNTIFS(Schedule!$C$2:$C$200,"PP3",Schedule!$D$2:$D$200,"Hayden")+COUNTIFS(Schedule!$C$2:$C$200,"PP3",Schedule!$E$2:$E$200,"Hayden")+COUNTIFS(Schedule!$C$2:$C$200,"PP3",Schedule!$F$2:$F$200,"Hayden")+COUNTIFS(Schedule!$C$2:$C$200,"PP3",Schedule!$G$2:$G$200,"Hayden")+COUNTIFS(Schedule!$C$2:$C$200,"PP3",Schedule!$H$2:$H$200,"Hayden")+COUNTIFS(Schedule!$C$2:$C$200,"PP3",Schedule!$I$2:$I$200,"Hayden")+COUNTIFS(Schedule!$C$2:$C$200,"PP3",Schedule!$J$2:$J$200,"Hayden")</f>
        <v>6</v>
      </c>
      <c r="U10">
        <f>COUNTIFS(Schedule!$C$2:$C$200,"PP3",Schedule!$D$2:$D$200,"John")+COUNTIFS(Schedule!$C$2:$C$200,"PP3",Schedule!$E$2:$E$200,"John")+COUNTIFS(Schedule!$C$2:$C$200,"PP3",Schedule!$F$2:$F$200,"John")+COUNTIFS(Schedule!$C$2:$C$200,"PP3",Schedule!$G$2:$G$200,"John")+COUNTIFS(Schedule!$C$2:$C$200,"PP3",Schedule!$H$2:$H$200,"John")+COUNTIFS(Schedule!$C$2:$C$200,"PP3",Schedule!$I$2:$I$200,"John")+COUNTIFS(Schedule!$C$2:$C$200,"PP3",Schedule!$J$2:$J$200,"John")</f>
        <v>6</v>
      </c>
      <c r="V10">
        <f>COUNTIFS(Schedule!$C$2:$C$200,"PP3",Schedule!$D$2:$D$200,"Maureen")+COUNTIFS(Schedule!$C$2:$C$200,"PP3",Schedule!$E$2:$E$200,"Maureen")+COUNTIFS(Schedule!$C$2:$C$200,"PP3",Schedule!$F$2:$F$200,"Maureen")+COUNTIFS(Schedule!$C$2:$C$200,"PP3",Schedule!$G$2:$G$200,"Maureen")+COUNTIFS(Schedule!$C$2:$C$200,"PP3",Schedule!$H$2:$H$200,"Maureen")+COUNTIFS(Schedule!$C$2:$C$200,"PP3",Schedule!$I$2:$I$200,"Maureen")+COUNTIFS(Schedule!$C$2:$C$200,"PP3",Schedule!$J$2:$J$200,"Maureen")</f>
        <v>6</v>
      </c>
      <c r="W10">
        <f>COUNTIFS(Schedule!$C$2:$C$200,"PP3",Schedule!$D$2:$D$200,"Mandie")+COUNTIFS(Schedule!$C$2:$C$200,"PP3",Schedule!$E$2:$E$200,"Mandie")+COUNTIFS(Schedule!$C$2:$C$200,"PP3",Schedule!$F$2:$F$200,"Mandie")+COUNTIFS(Schedule!$C$2:$C$200,"PP3",Schedule!$G$2:$G$200,"Mandie")+COUNTIFS(Schedule!$C$2:$C$200,"PP3",Schedule!$H$2:$H$200,"Mandie")+COUNTIFS(Schedule!$C$2:$C$200,"PP3",Schedule!$I$2:$I$200,"Mandie")+COUNTIFS(Schedule!$C$2:$C$200,"PP3",Schedule!$J$2:$J$200,"Mandie")</f>
        <v>6</v>
      </c>
      <c r="X10">
        <f>COUNTIFS(Schedule!$C$2:$C$200,"PP3",Schedule!$D$2:$D$200,"Caroline")+COUNTIFS(Schedule!$C$2:$C$200,"PP3",Schedule!$E$2:$E$200,"Caroline")+COUNTIFS(Schedule!$C$2:$C$200,"PP3",Schedule!$F$2:$F$200,"Caroline")+COUNTIFS(Schedule!$C$2:$C$200,"PP3",Schedule!$G$2:$G$200,"Caroline")+COUNTIFS(Schedule!$C$2:$C$200,"PP3",Schedule!$H$2:$H$200,"Caroline")+COUNTIFS(Schedule!$C$2:$C$200,"PP3",Schedule!$I$2:$I$200,"Caroline")+COUNTIFS(Schedule!$C$2:$C$200,"PP3",Schedule!$J$2:$J$200,"Caroline")</f>
        <v>3</v>
      </c>
      <c r="Y10">
        <f>COUNTIFS(Schedule!$C$2:$C$200,"PP3",Schedule!$D$2:$D$200,"Kristin")+COUNTIFS(Schedule!$C$2:$C$200,"PP3",Schedule!$E$2:$E$200,"Kristin")+COUNTIFS(Schedule!$C$2:$C$200,"PP3",Schedule!$F$2:$F$200,"Kristin")+COUNTIFS(Schedule!$C$2:$C$200,"PP3",Schedule!$G$2:$G$200,"Kristin")+COUNTIFS(Schedule!$C$2:$C$200,"PP3",Schedule!$H$2:$H$200,"Kristin")+COUNTIFS(Schedule!$C$2:$C$200,"PP3",Schedule!$I$2:$I$200,"Kristin")+COUNTIFS(Schedule!$C$2:$C$200,"PP3",Schedule!$J$2:$J$200,"Kristin")</f>
        <v>6</v>
      </c>
      <c r="Z10">
        <f>COUNTIFS(Schedule!$C$2:$C$200,"PP3",Schedule!$D$2:$D$200,"Radha")+COUNTIFS(Schedule!$C$2:$C$200,"PP3",Schedule!$E$2:$E$200,"Radha")+COUNTIFS(Schedule!$C$2:$C$200,"PP3",Schedule!$F$2:$F$200,"Radha")+COUNTIFS(Schedule!$C$2:$C$200,"PP3",Schedule!$G$2:$G$200,"Radha")+COUNTIFS(Schedule!$C$2:$C$200,"PP3",Schedule!$H$2:$H$200,"Radha")+COUNTIFS(Schedule!$C$2:$C$200,"PP3",Schedule!$I$2:$I$200,"Radha")+COUNTIFS(Schedule!$C$2:$C$200,"PP3",Schedule!$J$2:$J$200,"Radha")</f>
        <v>6</v>
      </c>
      <c r="AA10">
        <f>COUNTIFS(Schedule!$C$2:$C$200,"PP3",Schedule!$D$2:$D$200,"Jamie")+COUNTIFS(Schedule!$C$2:$C$200,"PP3",Schedule!$E$2:$E$200,"Jamie")+COUNTIFS(Schedule!$C$2:$C$200,"PP3",Schedule!$F$2:$F$200,"Jamie")+COUNTIFS(Schedule!$C$2:$C$200,"PP3",Schedule!$G$2:$G$200,"Jamie")+COUNTIFS(Schedule!$C$2:$C$200,"PP3",Schedule!$H$2:$H$200,"Jamie")+COUNTIFS(Schedule!$C$2:$C$200,"PP3",Schedule!$I$2:$I$200,"Jamie")+COUNTIFS(Schedule!$C$2:$C$200,"PP3",Schedule!$J$2:$J$200,"Jamie")</f>
        <v>0</v>
      </c>
      <c r="AB10">
        <f>COUNTIFS(Schedule!$C$2:$C$200,"PP3",Schedule!$D$2:$D$200,"Todd")+COUNTIFS(Schedule!$C$2:$C$200,"PP3",Schedule!$E$2:$E$200,"Todd")+COUNTIFS(Schedule!$C$2:$C$200,"PP3",Schedule!$F$2:$F$200,"Todd")+COUNTIFS(Schedule!$C$2:$C$200,"PP3",Schedule!$G$2:$G$200,"Todd")+COUNTIFS(Schedule!$C$2:$C$200,"PP3",Schedule!$H$2:$H$200,"Todd")+COUNTIFS(Schedule!$C$2:$C$200,"PP3",Schedule!$I$2:$I$200,"Todd")+COUNTIFS(Schedule!$C$2:$C$200,"PP3",Schedule!$J$2:$J$200,"Todd")</f>
        <v>4</v>
      </c>
      <c r="AC10">
        <f>COUNTIFS(Schedule!$C$2:$C$200,"PP3",Schedule!$D$2:$D$200,"Matt")+COUNTIFS(Schedule!$C$2:$C$200,"PP3",Schedule!$E$2:$E$200,"Matt")+COUNTIFS(Schedule!$C$2:$C$200,"PP3",Schedule!$F$2:$F$200,"Matt")+COUNTIFS(Schedule!$C$2:$C$200,"PP3",Schedule!$G$2:$G$200,"Matt")+COUNTIFS(Schedule!$C$2:$C$200,"PP3",Schedule!$H$2:$H$200,"Matt")+COUNTIFS(Schedule!$C$2:$C$200,"PP3",Schedule!$I$2:$I$200,"Matt")+COUNTIFS(Schedule!$C$2:$C$200,"PP3",Schedule!$J$2:$J$200,"Matt")</f>
        <v>0</v>
      </c>
      <c r="AD10">
        <f>COUNTIFS(Schedule!$C$2:$C$200,"PP3",Schedule!$D$2:$D$200,"Jen")+COUNTIFS(Schedule!$C$2:$C$200,"PP3",Schedule!$E$2:$E$200,"Jen")+COUNTIFS(Schedule!$C$2:$C$200,"PP3",Schedule!$F$2:$F$200,"Jen")+COUNTIFS(Schedule!$C$2:$C$200,"PP3",Schedule!$G$2:$G$200,"Jen")+COUNTIFS(Schedule!$C$2:$C$200,"PP3",Schedule!$H$2:$H$200,"Jen")+COUNTIFS(Schedule!$C$2:$C$200,"PP3",Schedule!$I$2:$I$200,"Jen")+COUNTIFS(Schedule!$C$2:$C$200,"PP3",Schedule!$J$2:$J$200,"Jen")</f>
        <v>0</v>
      </c>
      <c r="AE10">
        <f>COUNTIFS(Schedule!$C$2:$C$200,"PP3",Schedule!$D$2:$D$200,"Kennedy")+COUNTIFS(Schedule!$C$2:$C$200,"PP3",Schedule!$E$2:$E$200,"Kennedy")+COUNTIFS(Schedule!$C$2:$C$200,"PP3",Schedule!$F$2:$F$200,"Kennedy")+COUNTIFS(Schedule!$C$2:$C$200,"PP3",Schedule!$G$2:$G$200,"Kennedy")+COUNTIFS(Schedule!$C$2:$C$200,"PP3",Schedule!$H$2:$H$200,"Kennedy")+COUNTIFS(Schedule!$C$2:$C$200,"PP3",Schedule!$I$2:$I$200,"Kennedy")+COUNTIFS(Schedule!$C$2:$C$200,"PP3",Schedule!$J$2:$J$200,"Kennedy")</f>
        <v>0</v>
      </c>
      <c r="AF10">
        <f>COUNTIFS(Schedule!$C$2:$C$200,"PP3",Schedule!$D$2:$D$200,"Preet")+COUNTIFS(Schedule!$C$2:$C$200,"PP3",Schedule!$E$2:$E$200,"Preet")+COUNTIFS(Schedule!$C$2:$C$200,"PP3",Schedule!$F$2:$F$200,"Preet")+COUNTIFS(Schedule!$C$2:$C$200,"PP3",Schedule!$G$2:$G$200,"Preet")+COUNTIFS(Schedule!$C$2:$C$200,"PP3",Schedule!$H$2:$H$200,"Preet")+COUNTIFS(Schedule!$C$2:$C$200,"PP3",Schedule!$I$2:$I$200,"Preet")+COUNTIFS(Schedule!$C$2:$C$200,"PP3",Schedule!$J$2:$J$200,"Preet")</f>
        <v>0</v>
      </c>
      <c r="AG10">
        <f>COUNTIFS(Schedule!$C$2:$C$200,"PP3",Schedule!$D$2:$D$200,"Rose")+COUNTIFS(Schedule!$C$2:$C$200,"PP3",Schedule!$E$2:$E$200,"Rose")+COUNTIFS(Schedule!$C$2:$C$200,"PP3",Schedule!$F$2:$F$200,"Rose")+COUNTIFS(Schedule!$C$2:$C$200,"PP3",Schedule!$G$2:$G$200,"Rose")+COUNTIFS(Schedule!$C$2:$C$200,"PP3",Schedule!$H$2:$H$200,"Rose")+COUNTIFS(Schedule!$C$2:$C$200,"PP3",Schedule!$I$2:$I$200,"Rose")+COUNTIFS(Schedule!$C$2:$C$200,"PP3",Schedule!$J$2:$J$200,"Rose")</f>
        <v>0</v>
      </c>
      <c r="AH10">
        <f>COUNTIFS(Schedule!$C$2:$C$200,"PP3",Schedule!$D$2:$D$200,"Katia")+COUNTIFS(Schedule!$C$2:$C$200,"PP3",Schedule!$E$2:$E$200,"Katia")+COUNTIFS(Schedule!$C$2:$C$200,"PP3",Schedule!$F$2:$F$200,"Katia")+COUNTIFS(Schedule!$C$2:$C$200,"PP3",Schedule!$G$2:$G$200,"Katia")+COUNTIFS(Schedule!$C$2:$C$200,"PP3",Schedule!$H$2:$H$200,"Katia")+COUNTIFS(Schedule!$C$2:$C$200,"PP3",Schedule!$I$2:$I$200,"Katia")+COUNTIFS(Schedule!$C$2:$C$200,"PP3",Schedule!$J$2:$J$200,"Katia")</f>
        <v>0</v>
      </c>
    </row>
    <row r="11" spans="1:34" ht="16" customHeight="1" x14ac:dyDescent="0.35">
      <c r="A11" s="22" t="s">
        <v>64</v>
      </c>
      <c r="B11" s="27">
        <f t="shared" ref="B11:Q11" si="0">SUMPRODUCT((S$1:S$7&gt;S$8:S$14)*(S$1:S$7-S$8:S$14))</f>
        <v>1</v>
      </c>
      <c r="C11" s="27">
        <f t="shared" si="0"/>
        <v>0</v>
      </c>
      <c r="D11" s="27">
        <f t="shared" si="0"/>
        <v>2</v>
      </c>
      <c r="E11" s="27">
        <f t="shared" si="0"/>
        <v>0</v>
      </c>
      <c r="F11" s="27">
        <f t="shared" si="0"/>
        <v>1</v>
      </c>
      <c r="G11" s="27">
        <f t="shared" si="0"/>
        <v>1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7">
        <f t="shared" si="0"/>
        <v>2</v>
      </c>
      <c r="L11" s="27">
        <f t="shared" si="0"/>
        <v>0</v>
      </c>
      <c r="M11" s="27">
        <f t="shared" si="0"/>
        <v>0</v>
      </c>
      <c r="N11" s="27">
        <f t="shared" si="0"/>
        <v>0</v>
      </c>
      <c r="O11" s="27">
        <f t="shared" si="0"/>
        <v>0</v>
      </c>
      <c r="P11" s="27">
        <f t="shared" si="0"/>
        <v>0</v>
      </c>
      <c r="Q11" s="27">
        <f t="shared" si="0"/>
        <v>0</v>
      </c>
      <c r="S11">
        <f>COUNTIFS(Schedule!$C$2:$C$200,"PP4",Schedule!$D$2:$D$200,"Katie")+COUNTIFS(Schedule!$C$2:$C$200,"PP4",Schedule!$E$2:$E$200,"Katie")+COUNTIFS(Schedule!$C$2:$C$200,"PP4",Schedule!$F$2:$F$200,"Katie")+COUNTIFS(Schedule!$C$2:$C$200,"PP4",Schedule!$G$2:$G$200,"Katie")+COUNTIFS(Schedule!$C$2:$C$200,"PP4",Schedule!$H$2:$H$200,"Katie")+COUNTIFS(Schedule!$C$2:$C$200,"PP4",Schedule!$I$2:$I$200,"Katie")+COUNTIFS(Schedule!$C$2:$C$200,"PP4",Schedule!$J$2:$J$200,"Katie")</f>
        <v>5</v>
      </c>
      <c r="T11">
        <f>COUNTIFS(Schedule!$C$2:$C$200,"PP4",Schedule!$D$2:$D$200,"Hayden")+COUNTIFS(Schedule!$C$2:$C$200,"PP4",Schedule!$E$2:$E$200,"Hayden")+COUNTIFS(Schedule!$C$2:$C$200,"PP4",Schedule!$F$2:$F$200,"Hayden")+COUNTIFS(Schedule!$C$2:$C$200,"PP4",Schedule!$G$2:$G$200,"Hayden")+COUNTIFS(Schedule!$C$2:$C$200,"PP4",Schedule!$H$2:$H$200,"Hayden")+COUNTIFS(Schedule!$C$2:$C$200,"PP4",Schedule!$I$2:$I$200,"Hayden")+COUNTIFS(Schedule!$C$2:$C$200,"PP4",Schedule!$J$2:$J$200,"Hayden")</f>
        <v>6</v>
      </c>
      <c r="U11">
        <f>COUNTIFS(Schedule!$C$2:$C$200,"PP4",Schedule!$D$2:$D$200,"John")+COUNTIFS(Schedule!$C$2:$C$200,"PP4",Schedule!$E$2:$E$200,"John")+COUNTIFS(Schedule!$C$2:$C$200,"PP4",Schedule!$F$2:$F$200,"John")+COUNTIFS(Schedule!$C$2:$C$200,"PP4",Schedule!$G$2:$G$200,"John")+COUNTIFS(Schedule!$C$2:$C$200,"PP4",Schedule!$H$2:$H$200,"John")+COUNTIFS(Schedule!$C$2:$C$200,"PP4",Schedule!$I$2:$I$200,"John")+COUNTIFS(Schedule!$C$2:$C$200,"PP4",Schedule!$J$2:$J$200,"John")</f>
        <v>6</v>
      </c>
      <c r="V11">
        <f>COUNTIFS(Schedule!$C$2:$C$200,"PP4",Schedule!$D$2:$D$200,"Maureen")+COUNTIFS(Schedule!$C$2:$C$200,"PP4",Schedule!$E$2:$E$200,"Maureen")+COUNTIFS(Schedule!$C$2:$C$200,"PP4",Schedule!$F$2:$F$200,"Maureen")+COUNTIFS(Schedule!$C$2:$C$200,"PP4",Schedule!$G$2:$G$200,"Maureen")+COUNTIFS(Schedule!$C$2:$C$200,"PP4",Schedule!$H$2:$H$200,"Maureen")+COUNTIFS(Schedule!$C$2:$C$200,"PP4",Schedule!$I$2:$I$200,"Maureen")+COUNTIFS(Schedule!$C$2:$C$200,"PP4",Schedule!$J$2:$J$200,"Maureen")</f>
        <v>6</v>
      </c>
      <c r="W11">
        <f>COUNTIFS(Schedule!$C$2:$C$200,"PP4",Schedule!$D$2:$D$200,"Mandie")+COUNTIFS(Schedule!$C$2:$C$200,"PP4",Schedule!$E$2:$E$200,"Mandie")+COUNTIFS(Schedule!$C$2:$C$200,"PP4",Schedule!$F$2:$F$200,"Mandie")+COUNTIFS(Schedule!$C$2:$C$200,"PP4",Schedule!$G$2:$G$200,"Mandie")+COUNTIFS(Schedule!$C$2:$C$200,"PP4",Schedule!$H$2:$H$200,"Mandie")+COUNTIFS(Schedule!$C$2:$C$200,"PP4",Schedule!$I$2:$I$200,"Mandie")+COUNTIFS(Schedule!$C$2:$C$200,"PP4",Schedule!$J$2:$J$200,"Mandie")</f>
        <v>6</v>
      </c>
      <c r="X11">
        <f>COUNTIFS(Schedule!$C$2:$C$200,"PP4",Schedule!$D$2:$D$200,"Caroline")+COUNTIFS(Schedule!$C$2:$C$200,"PP4",Schedule!$E$2:$E$200,"Caroline")+COUNTIFS(Schedule!$C$2:$C$200,"PP4",Schedule!$F$2:$F$200,"Caroline")+COUNTIFS(Schedule!$C$2:$C$200,"PP4",Schedule!$G$2:$G$200,"Caroline")+COUNTIFS(Schedule!$C$2:$C$200,"PP4",Schedule!$H$2:$H$200,"Caroline")+COUNTIFS(Schedule!$C$2:$C$200,"PP4",Schedule!$I$2:$I$200,"Caroline")+COUNTIFS(Schedule!$C$2:$C$200,"PP4",Schedule!$J$2:$J$200,"Caroline")</f>
        <v>6</v>
      </c>
      <c r="Y11">
        <f>COUNTIFS(Schedule!$C$2:$C$200,"PP4",Schedule!$D$2:$D$200,"Kristin")+COUNTIFS(Schedule!$C$2:$C$200,"PP4",Schedule!$E$2:$E$200,"Kristin")+COUNTIFS(Schedule!$C$2:$C$200,"PP4",Schedule!$F$2:$F$200,"Kristin")+COUNTIFS(Schedule!$C$2:$C$200,"PP4",Schedule!$G$2:$G$200,"Kristin")+COUNTIFS(Schedule!$C$2:$C$200,"PP4",Schedule!$H$2:$H$200,"Kristin")+COUNTIFS(Schedule!$C$2:$C$200,"PP4",Schedule!$I$2:$I$200,"Kristin")+COUNTIFS(Schedule!$C$2:$C$200,"PP4",Schedule!$J$2:$J$200,"Kristin")</f>
        <v>6</v>
      </c>
      <c r="Z11">
        <f>COUNTIFS(Schedule!$C$2:$C$200,"PP4",Schedule!$D$2:$D$200,"Radha")+COUNTIFS(Schedule!$C$2:$C$200,"PP4",Schedule!$E$2:$E$200,"Radha")+COUNTIFS(Schedule!$C$2:$C$200,"PP4",Schedule!$F$2:$F$200,"Radha")+COUNTIFS(Schedule!$C$2:$C$200,"PP4",Schedule!$G$2:$G$200,"Radha")+COUNTIFS(Schedule!$C$2:$C$200,"PP4",Schedule!$H$2:$H$200,"Radha")+COUNTIFS(Schedule!$C$2:$C$200,"PP4",Schedule!$I$2:$I$200,"Radha")+COUNTIFS(Schedule!$C$2:$C$200,"PP4",Schedule!$J$2:$J$200,"Radha")</f>
        <v>6</v>
      </c>
      <c r="AA11">
        <f>COUNTIFS(Schedule!$C$2:$C$200,"PP4",Schedule!$D$2:$D$200,"Jamie")+COUNTIFS(Schedule!$C$2:$C$200,"PP4",Schedule!$E$2:$E$200,"Jamie")+COUNTIFS(Schedule!$C$2:$C$200,"PP4",Schedule!$F$2:$F$200,"Jamie")+COUNTIFS(Schedule!$C$2:$C$200,"PP4",Schedule!$G$2:$G$200,"Jamie")+COUNTIFS(Schedule!$C$2:$C$200,"PP4",Schedule!$H$2:$H$200,"Jamie")+COUNTIFS(Schedule!$C$2:$C$200,"PP4",Schedule!$I$2:$I$200,"Jamie")+COUNTIFS(Schedule!$C$2:$C$200,"PP4",Schedule!$J$2:$J$200,"Jamie")</f>
        <v>0</v>
      </c>
      <c r="AB11">
        <f>COUNTIFS(Schedule!$C$2:$C$200,"PP4",Schedule!$D$2:$D$200,"Todd")+COUNTIFS(Schedule!$C$2:$C$200,"PP4",Schedule!$E$2:$E$200,"Todd")+COUNTIFS(Schedule!$C$2:$C$200,"PP4",Schedule!$F$2:$F$200,"Todd")+COUNTIFS(Schedule!$C$2:$C$200,"PP4",Schedule!$G$2:$G$200,"Todd")+COUNTIFS(Schedule!$C$2:$C$200,"PP4",Schedule!$H$2:$H$200,"Todd")+COUNTIFS(Schedule!$C$2:$C$200,"PP4",Schedule!$I$2:$I$200,"Todd")+COUNTIFS(Schedule!$C$2:$C$200,"PP4",Schedule!$J$2:$J$200,"Todd")</f>
        <v>6</v>
      </c>
      <c r="AC11">
        <f>COUNTIFS(Schedule!$C$2:$C$200,"PP4",Schedule!$D$2:$D$200,"Matt")+COUNTIFS(Schedule!$C$2:$C$200,"PP4",Schedule!$E$2:$E$200,"Matt")+COUNTIFS(Schedule!$C$2:$C$200,"PP4",Schedule!$F$2:$F$200,"Matt")+COUNTIFS(Schedule!$C$2:$C$200,"PP4",Schedule!$G$2:$G$200,"Matt")+COUNTIFS(Schedule!$C$2:$C$200,"PP4",Schedule!$H$2:$H$200,"Matt")+COUNTIFS(Schedule!$C$2:$C$200,"PP4",Schedule!$I$2:$I$200,"Matt")+COUNTIFS(Schedule!$C$2:$C$200,"PP4",Schedule!$J$2:$J$200,"Matt")</f>
        <v>0</v>
      </c>
      <c r="AD11">
        <f>COUNTIFS(Schedule!$C$2:$C$200,"PP4",Schedule!$D$2:$D$200,"Jen")+COUNTIFS(Schedule!$C$2:$C$200,"PP4",Schedule!$E$2:$E$200,"Jen")+COUNTIFS(Schedule!$C$2:$C$200,"PP4",Schedule!$F$2:$F$200,"Jen")+COUNTIFS(Schedule!$C$2:$C$200,"PP4",Schedule!$G$2:$G$200,"Jen")+COUNTIFS(Schedule!$C$2:$C$200,"PP4",Schedule!$H$2:$H$200,"Jen")+COUNTIFS(Schedule!$C$2:$C$200,"PP4",Schedule!$I$2:$I$200,"Jen")+COUNTIFS(Schedule!$C$2:$C$200,"PP4",Schedule!$J$2:$J$200,"Jen")</f>
        <v>0</v>
      </c>
      <c r="AE11">
        <f>COUNTIFS(Schedule!$C$2:$C$200,"PP4",Schedule!$D$2:$D$200,"Kennedy")+COUNTIFS(Schedule!$C$2:$C$200,"PP4",Schedule!$E$2:$E$200,"Kennedy")+COUNTIFS(Schedule!$C$2:$C$200,"PP4",Schedule!$F$2:$F$200,"Kennedy")+COUNTIFS(Schedule!$C$2:$C$200,"PP4",Schedule!$G$2:$G$200,"Kennedy")+COUNTIFS(Schedule!$C$2:$C$200,"PP4",Schedule!$H$2:$H$200,"Kennedy")+COUNTIFS(Schedule!$C$2:$C$200,"PP4",Schedule!$I$2:$I$200,"Kennedy")+COUNTIFS(Schedule!$C$2:$C$200,"PP4",Schedule!$J$2:$J$200,"Kennedy")</f>
        <v>0</v>
      </c>
      <c r="AF11">
        <f>COUNTIFS(Schedule!$C$2:$C$200,"PP4",Schedule!$D$2:$D$200,"Preet")+COUNTIFS(Schedule!$C$2:$C$200,"PP4",Schedule!$E$2:$E$200,"Preet")+COUNTIFS(Schedule!$C$2:$C$200,"PP4",Schedule!$F$2:$F$200,"Preet")+COUNTIFS(Schedule!$C$2:$C$200,"PP4",Schedule!$G$2:$G$200,"Preet")+COUNTIFS(Schedule!$C$2:$C$200,"PP4",Schedule!$H$2:$H$200,"Preet")+COUNTIFS(Schedule!$C$2:$C$200,"PP4",Schedule!$I$2:$I$200,"Preet")+COUNTIFS(Schedule!$C$2:$C$200,"PP4",Schedule!$J$2:$J$200,"Preet")</f>
        <v>0</v>
      </c>
      <c r="AG11">
        <f>COUNTIFS(Schedule!$C$2:$C$200,"PP4",Schedule!$D$2:$D$200,"Rose")+COUNTIFS(Schedule!$C$2:$C$200,"PP4",Schedule!$E$2:$E$200,"Rose")+COUNTIFS(Schedule!$C$2:$C$200,"PP4",Schedule!$F$2:$F$200,"Rose")+COUNTIFS(Schedule!$C$2:$C$200,"PP4",Schedule!$G$2:$G$200,"Rose")+COUNTIFS(Schedule!$C$2:$C$200,"PP4",Schedule!$H$2:$H$200,"Rose")+COUNTIFS(Schedule!$C$2:$C$200,"PP4",Schedule!$I$2:$I$200,"Rose")+COUNTIFS(Schedule!$C$2:$C$200,"PP4",Schedule!$J$2:$J$200,"Rose")</f>
        <v>0</v>
      </c>
      <c r="AH11">
        <f>COUNTIFS(Schedule!$C$2:$C$200,"PP4",Schedule!$D$2:$D$200,"Katia")+COUNTIFS(Schedule!$C$2:$C$200,"PP4",Schedule!$E$2:$E$200,"Katia")+COUNTIFS(Schedule!$C$2:$C$200,"PP4",Schedule!$F$2:$F$200,"Katia")+COUNTIFS(Schedule!$C$2:$C$200,"PP4",Schedule!$G$2:$G$200,"Katia")+COUNTIFS(Schedule!$C$2:$C$200,"PP4",Schedule!$H$2:$H$200,"Katia")+COUNTIFS(Schedule!$C$2:$C$200,"PP4",Schedule!$I$2:$I$200,"Katia")+COUNTIFS(Schedule!$C$2:$C$200,"PP4",Schedule!$J$2:$J$200,"Katia")</f>
        <v>0</v>
      </c>
    </row>
    <row r="12" spans="1:34" x14ac:dyDescent="0.35">
      <c r="S12">
        <f>COUNTIFS(Schedule!$C$2:$C$200,"PP5",Schedule!$D$2:$D$200,"Katie")+COUNTIFS(Schedule!$C$2:$C$200,"PP5",Schedule!$E$2:$E$200,"Katie")+COUNTIFS(Schedule!$C$2:$C$200,"PP5",Schedule!$F$2:$F$200,"Katie")+COUNTIFS(Schedule!$C$2:$C$200,"PP5",Schedule!$G$2:$G$200,"Katie")+COUNTIFS(Schedule!$C$2:$C$200,"PP5",Schedule!$H$2:$H$200,"Katie")+COUNTIFS(Schedule!$C$2:$C$200,"PP5",Schedule!$I$2:$I$200,"Katie")+COUNTIFS(Schedule!$C$2:$C$200,"PP5",Schedule!$J$2:$J$200,"Katie")</f>
        <v>6</v>
      </c>
      <c r="T12">
        <f>COUNTIFS(Schedule!$C$2:$C$200,"PP5",Schedule!$D$2:$D$200,"Hayden")+COUNTIFS(Schedule!$C$2:$C$200,"PP5",Schedule!$E$2:$E$200,"Hayden")+COUNTIFS(Schedule!$C$2:$C$200,"PP5",Schedule!$F$2:$F$200,"Hayden")+COUNTIFS(Schedule!$C$2:$C$200,"PP5",Schedule!$G$2:$G$200,"Hayden")+COUNTIFS(Schedule!$C$2:$C$200,"PP5",Schedule!$H$2:$H$200,"Hayden")+COUNTIFS(Schedule!$C$2:$C$200,"PP5",Schedule!$I$2:$I$200,"Hayden")+COUNTIFS(Schedule!$C$2:$C$200,"PP5",Schedule!$J$2:$J$200,"Hayden")</f>
        <v>5</v>
      </c>
      <c r="U12">
        <f>COUNTIFS(Schedule!$C$2:$C$200,"PP5",Schedule!$D$2:$D$200,"John")+COUNTIFS(Schedule!$C$2:$C$200,"PP5",Schedule!$E$2:$E$200,"John")+COUNTIFS(Schedule!$C$2:$C$200,"PP5",Schedule!$F$2:$F$200,"John")+COUNTIFS(Schedule!$C$2:$C$200,"PP5",Schedule!$G$2:$G$200,"John")+COUNTIFS(Schedule!$C$2:$C$200,"PP5",Schedule!$H$2:$H$200,"John")+COUNTIFS(Schedule!$C$2:$C$200,"PP5",Schedule!$I$2:$I$200,"John")+COUNTIFS(Schedule!$C$2:$C$200,"PP5",Schedule!$J$2:$J$200,"John")</f>
        <v>6</v>
      </c>
      <c r="V12">
        <f>COUNTIFS(Schedule!$C$2:$C$200,"PP5",Schedule!$D$2:$D$200,"Maureen")+COUNTIFS(Schedule!$C$2:$C$200,"PP5",Schedule!$E$2:$E$200,"Maureen")+COUNTIFS(Schedule!$C$2:$C$200,"PP5",Schedule!$F$2:$F$200,"Maureen")+COUNTIFS(Schedule!$C$2:$C$200,"PP5",Schedule!$G$2:$G$200,"Maureen")+COUNTIFS(Schedule!$C$2:$C$200,"PP5",Schedule!$H$2:$H$200,"Maureen")+COUNTIFS(Schedule!$C$2:$C$200,"PP5",Schedule!$I$2:$I$200,"Maureen")+COUNTIFS(Schedule!$C$2:$C$200,"PP5",Schedule!$J$2:$J$200,"Maureen")</f>
        <v>4</v>
      </c>
      <c r="W12">
        <f>COUNTIFS(Schedule!$C$2:$C$200,"PP5",Schedule!$D$2:$D$200,"Mandie")+COUNTIFS(Schedule!$C$2:$C$200,"PP5",Schedule!$E$2:$E$200,"Mandie")+COUNTIFS(Schedule!$C$2:$C$200,"PP5",Schedule!$F$2:$F$200,"Mandie")+COUNTIFS(Schedule!$C$2:$C$200,"PP5",Schedule!$G$2:$G$200,"Mandie")+COUNTIFS(Schedule!$C$2:$C$200,"PP5",Schedule!$H$2:$H$200,"Mandie")+COUNTIFS(Schedule!$C$2:$C$200,"PP5",Schedule!$I$2:$I$200,"Mandie")+COUNTIFS(Schedule!$C$2:$C$200,"PP5",Schedule!$J$2:$J$200,"Mandie")</f>
        <v>4</v>
      </c>
      <c r="X12">
        <f>COUNTIFS(Schedule!$C$2:$C$200,"PP5",Schedule!$D$2:$D$200,"Caroline")+COUNTIFS(Schedule!$C$2:$C$200,"PP5",Schedule!$E$2:$E$200,"Caroline")+COUNTIFS(Schedule!$C$2:$C$200,"PP5",Schedule!$F$2:$F$200,"Caroline")+COUNTIFS(Schedule!$C$2:$C$200,"PP5",Schedule!$G$2:$G$200,"Caroline")+COUNTIFS(Schedule!$C$2:$C$200,"PP5",Schedule!$H$2:$H$200,"Caroline")+COUNTIFS(Schedule!$C$2:$C$200,"PP5",Schedule!$I$2:$I$200,"Caroline")+COUNTIFS(Schedule!$C$2:$C$200,"PP5",Schedule!$J$2:$J$200,"Caroline")</f>
        <v>4</v>
      </c>
      <c r="Y12">
        <f>COUNTIFS(Schedule!$C$2:$C$200,"PP5",Schedule!$D$2:$D$200,"Kristin")+COUNTIFS(Schedule!$C$2:$C$200,"PP5",Schedule!$E$2:$E$200,"Kristin")+COUNTIFS(Schedule!$C$2:$C$200,"PP5",Schedule!$F$2:$F$200,"Kristin")+COUNTIFS(Schedule!$C$2:$C$200,"PP5",Schedule!$G$2:$G$200,"Kristin")+COUNTIFS(Schedule!$C$2:$C$200,"PP5",Schedule!$H$2:$H$200,"Kristin")+COUNTIFS(Schedule!$C$2:$C$200,"PP5",Schedule!$I$2:$I$200,"Kristin")+COUNTIFS(Schedule!$C$2:$C$200,"PP5",Schedule!$J$2:$J$200,"Kristin")</f>
        <v>6</v>
      </c>
      <c r="Z12">
        <f>COUNTIFS(Schedule!$C$2:$C$200,"PP5",Schedule!$D$2:$D$200,"Radha")+COUNTIFS(Schedule!$C$2:$C$200,"PP5",Schedule!$E$2:$E$200,"Radha")+COUNTIFS(Schedule!$C$2:$C$200,"PP5",Schedule!$F$2:$F$200,"Radha")+COUNTIFS(Schedule!$C$2:$C$200,"PP5",Schedule!$G$2:$G$200,"Radha")+COUNTIFS(Schedule!$C$2:$C$200,"PP5",Schedule!$H$2:$H$200,"Radha")+COUNTIFS(Schedule!$C$2:$C$200,"PP5",Schedule!$I$2:$I$200,"Radha")+COUNTIFS(Schedule!$C$2:$C$200,"PP5",Schedule!$J$2:$J$200,"Radha")</f>
        <v>5</v>
      </c>
      <c r="AA12">
        <f>COUNTIFS(Schedule!$C$2:$C$200,"PP5",Schedule!$D$2:$D$200,"Jamie")+COUNTIFS(Schedule!$C$2:$C$200,"PP5",Schedule!$E$2:$E$200,"Jamie")+COUNTIFS(Schedule!$C$2:$C$200,"PP5",Schedule!$F$2:$F$200,"Jamie")+COUNTIFS(Schedule!$C$2:$C$200,"PP5",Schedule!$G$2:$G$200,"Jamie")+COUNTIFS(Schedule!$C$2:$C$200,"PP5",Schedule!$H$2:$H$200,"Jamie")+COUNTIFS(Schedule!$C$2:$C$200,"PP5",Schedule!$I$2:$I$200,"Jamie")+COUNTIFS(Schedule!$C$2:$C$200,"PP5",Schedule!$J$2:$J$200,"Jamie")</f>
        <v>5</v>
      </c>
      <c r="AB12">
        <f>COUNTIFS(Schedule!$C$2:$C$200,"PP5",Schedule!$D$2:$D$200,"Todd")+COUNTIFS(Schedule!$C$2:$C$200,"PP5",Schedule!$E$2:$E$200,"Todd")+COUNTIFS(Schedule!$C$2:$C$200,"PP5",Schedule!$F$2:$F$200,"Todd")+COUNTIFS(Schedule!$C$2:$C$200,"PP5",Schedule!$G$2:$G$200,"Todd")+COUNTIFS(Schedule!$C$2:$C$200,"PP5",Schedule!$H$2:$H$200,"Todd")+COUNTIFS(Schedule!$C$2:$C$200,"PP5",Schedule!$I$2:$I$200,"Todd")+COUNTIFS(Schedule!$C$2:$C$200,"PP5",Schedule!$J$2:$J$200,"Todd")</f>
        <v>6</v>
      </c>
      <c r="AC12">
        <f>COUNTIFS(Schedule!$C$2:$C$200,"PP5",Schedule!$D$2:$D$200,"Matt")+COUNTIFS(Schedule!$C$2:$C$200,"PP5",Schedule!$E$2:$E$200,"Matt")+COUNTIFS(Schedule!$C$2:$C$200,"PP5",Schedule!$F$2:$F$200,"Matt")+COUNTIFS(Schedule!$C$2:$C$200,"PP5",Schedule!$G$2:$G$200,"Matt")+COUNTIFS(Schedule!$C$2:$C$200,"PP5",Schedule!$H$2:$H$200,"Matt")+COUNTIFS(Schedule!$C$2:$C$200,"PP5",Schedule!$I$2:$I$200,"Matt")+COUNTIFS(Schedule!$C$2:$C$200,"PP5",Schedule!$J$2:$J$200,"Matt")</f>
        <v>0</v>
      </c>
      <c r="AD12">
        <f>COUNTIFS(Schedule!$C$2:$C$200,"PP5",Schedule!$D$2:$D$200,"Jen")+COUNTIFS(Schedule!$C$2:$C$200,"PP5",Schedule!$E$2:$E$200,"Jen")+COUNTIFS(Schedule!$C$2:$C$200,"PP5",Schedule!$F$2:$F$200,"Jen")+COUNTIFS(Schedule!$C$2:$C$200,"PP5",Schedule!$G$2:$G$200,"Jen")+COUNTIFS(Schedule!$C$2:$C$200,"PP5",Schedule!$H$2:$H$200,"Jen")+COUNTIFS(Schedule!$C$2:$C$200,"PP5",Schedule!$I$2:$I$200,"Jen")+COUNTIFS(Schedule!$C$2:$C$200,"PP5",Schedule!$J$2:$J$200,"Jen")</f>
        <v>0</v>
      </c>
      <c r="AE12">
        <f>COUNTIFS(Schedule!$C$2:$C$200,"PP5",Schedule!$D$2:$D$200,"Kennedy")+COUNTIFS(Schedule!$C$2:$C$200,"PP5",Schedule!$E$2:$E$200,"Kennedy")+COUNTIFS(Schedule!$C$2:$C$200,"PP5",Schedule!$F$2:$F$200,"Kennedy")+COUNTIFS(Schedule!$C$2:$C$200,"PP5",Schedule!$G$2:$G$200,"Kennedy")+COUNTIFS(Schedule!$C$2:$C$200,"PP5",Schedule!$H$2:$H$200,"Kennedy")+COUNTIFS(Schedule!$C$2:$C$200,"PP5",Schedule!$I$2:$I$200,"Kennedy")+COUNTIFS(Schedule!$C$2:$C$200,"PP5",Schedule!$J$2:$J$200,"Kennedy")</f>
        <v>0</v>
      </c>
      <c r="AF12">
        <f>COUNTIFS(Schedule!$C$2:$C$200,"PP5",Schedule!$D$2:$D$200,"Preet")+COUNTIFS(Schedule!$C$2:$C$200,"PP5",Schedule!$E$2:$E$200,"Preet")+COUNTIFS(Schedule!$C$2:$C$200,"PP5",Schedule!$F$2:$F$200,"Preet")+COUNTIFS(Schedule!$C$2:$C$200,"PP5",Schedule!$G$2:$G$200,"Preet")+COUNTIFS(Schedule!$C$2:$C$200,"PP5",Schedule!$H$2:$H$200,"Preet")+COUNTIFS(Schedule!$C$2:$C$200,"PP5",Schedule!$I$2:$I$200,"Preet")+COUNTIFS(Schedule!$C$2:$C$200,"PP5",Schedule!$J$2:$J$200,"Preet")</f>
        <v>0</v>
      </c>
      <c r="AG12">
        <f>COUNTIFS(Schedule!$C$2:$C$200,"PP5",Schedule!$D$2:$D$200,"Rose")+COUNTIFS(Schedule!$C$2:$C$200,"PP5",Schedule!$E$2:$E$200,"Rose")+COUNTIFS(Schedule!$C$2:$C$200,"PP5",Schedule!$F$2:$F$200,"Rose")+COUNTIFS(Schedule!$C$2:$C$200,"PP5",Schedule!$G$2:$G$200,"Rose")+COUNTIFS(Schedule!$C$2:$C$200,"PP5",Schedule!$H$2:$H$200,"Rose")+COUNTIFS(Schedule!$C$2:$C$200,"PP5",Schedule!$I$2:$I$200,"Rose")+COUNTIFS(Schedule!$C$2:$C$200,"PP5",Schedule!$J$2:$J$200,"Rose")</f>
        <v>0</v>
      </c>
      <c r="AH12">
        <f>COUNTIFS(Schedule!$C$2:$C$200,"PP5",Schedule!$D$2:$D$200,"Katia")+COUNTIFS(Schedule!$C$2:$C$200,"PP5",Schedule!$E$2:$E$200,"Katia")+COUNTIFS(Schedule!$C$2:$C$200,"PP5",Schedule!$F$2:$F$200,"Katia")+COUNTIFS(Schedule!$C$2:$C$200,"PP5",Schedule!$G$2:$G$200,"Katia")+COUNTIFS(Schedule!$C$2:$C$200,"PP5",Schedule!$H$2:$H$200,"Katia")+COUNTIFS(Schedule!$C$2:$C$200,"PP5",Schedule!$I$2:$I$200,"Katia")+COUNTIFS(Schedule!$C$2:$C$200,"PP5",Schedule!$J$2:$J$200,"Katia")</f>
        <v>0</v>
      </c>
    </row>
    <row r="13" spans="1:34" ht="20" customHeight="1" x14ac:dyDescent="0.35">
      <c r="A13" s="51" t="s">
        <v>65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>
        <f>COUNTIFS(Schedule!$C$2:$C$200,"PP6",Schedule!$D$2:$D$200,"Katie")+COUNTIFS(Schedule!$C$2:$C$200,"PP6",Schedule!$E$2:$E$200,"Katie")+COUNTIFS(Schedule!$C$2:$C$200,"PP6",Schedule!$F$2:$F$200,"Katie")+COUNTIFS(Schedule!$C$2:$C$200,"PP6",Schedule!$G$2:$G$200,"Katie")+COUNTIFS(Schedule!$C$2:$C$200,"PP6",Schedule!$H$2:$H$200,"Katie")+COUNTIFS(Schedule!$C$2:$C$200,"PP6",Schedule!$I$2:$I$200,"Katie")+COUNTIFS(Schedule!$C$2:$C$200,"PP6",Schedule!$J$2:$J$200,"Katie")</f>
        <v>6</v>
      </c>
      <c r="T13">
        <f>COUNTIFS(Schedule!$C$2:$C$200,"PP6",Schedule!$D$2:$D$200,"Hayden")+COUNTIFS(Schedule!$C$2:$C$200,"PP6",Schedule!$E$2:$E$200,"Hayden")+COUNTIFS(Schedule!$C$2:$C$200,"PP6",Schedule!$F$2:$F$200,"Hayden")+COUNTIFS(Schedule!$C$2:$C$200,"PP6",Schedule!$G$2:$G$200,"Hayden")+COUNTIFS(Schedule!$C$2:$C$200,"PP6",Schedule!$H$2:$H$200,"Hayden")+COUNTIFS(Schedule!$C$2:$C$200,"PP6",Schedule!$I$2:$I$200,"Hayden")+COUNTIFS(Schedule!$C$2:$C$200,"PP6",Schedule!$J$2:$J$200,"Hayden")</f>
        <v>6</v>
      </c>
      <c r="U13">
        <f>COUNTIFS(Schedule!$C$2:$C$200,"PP6",Schedule!$D$2:$D$200,"John")+COUNTIFS(Schedule!$C$2:$C$200,"PP6",Schedule!$E$2:$E$200,"John")+COUNTIFS(Schedule!$C$2:$C$200,"PP6",Schedule!$F$2:$F$200,"John")+COUNTIFS(Schedule!$C$2:$C$200,"PP6",Schedule!$G$2:$G$200,"John")+COUNTIFS(Schedule!$C$2:$C$200,"PP6",Schedule!$H$2:$H$200,"John")+COUNTIFS(Schedule!$C$2:$C$200,"PP6",Schedule!$I$2:$I$200,"John")+COUNTIFS(Schedule!$C$2:$C$200,"PP6",Schedule!$J$2:$J$200,"John")</f>
        <v>4</v>
      </c>
      <c r="V13">
        <f>COUNTIFS(Schedule!$C$2:$C$200,"PP6",Schedule!$D$2:$D$200,"Maureen")+COUNTIFS(Schedule!$C$2:$C$200,"PP6",Schedule!$E$2:$E$200,"Maureen")+COUNTIFS(Schedule!$C$2:$C$200,"PP6",Schedule!$F$2:$F$200,"Maureen")+COUNTIFS(Schedule!$C$2:$C$200,"PP6",Schedule!$G$2:$G$200,"Maureen")+COUNTIFS(Schedule!$C$2:$C$200,"PP6",Schedule!$H$2:$H$200,"Maureen")+COUNTIFS(Schedule!$C$2:$C$200,"PP6",Schedule!$I$2:$I$200,"Maureen")+COUNTIFS(Schedule!$C$2:$C$200,"PP6",Schedule!$J$2:$J$200,"Maureen")</f>
        <v>6</v>
      </c>
      <c r="W13">
        <f>COUNTIFS(Schedule!$C$2:$C$200,"PP6",Schedule!$D$2:$D$200,"Mandie")+COUNTIFS(Schedule!$C$2:$C$200,"PP6",Schedule!$E$2:$E$200,"Mandie")+COUNTIFS(Schedule!$C$2:$C$200,"PP6",Schedule!$F$2:$F$200,"Mandie")+COUNTIFS(Schedule!$C$2:$C$200,"PP6",Schedule!$G$2:$G$200,"Mandie")+COUNTIFS(Schedule!$C$2:$C$200,"PP6",Schedule!$H$2:$H$200,"Mandie")+COUNTIFS(Schedule!$C$2:$C$200,"PP6",Schedule!$I$2:$I$200,"Mandie")+COUNTIFS(Schedule!$C$2:$C$200,"PP6",Schedule!$J$2:$J$200,"Mandie")</f>
        <v>5</v>
      </c>
      <c r="X13">
        <f>COUNTIFS(Schedule!$C$2:$C$200,"PP6",Schedule!$D$2:$D$200,"Caroline")+COUNTIFS(Schedule!$C$2:$C$200,"PP6",Schedule!$E$2:$E$200,"Caroline")+COUNTIFS(Schedule!$C$2:$C$200,"PP6",Schedule!$F$2:$F$200,"Caroline")+COUNTIFS(Schedule!$C$2:$C$200,"PP6",Schedule!$G$2:$G$200,"Caroline")+COUNTIFS(Schedule!$C$2:$C$200,"PP6",Schedule!$H$2:$H$200,"Caroline")+COUNTIFS(Schedule!$C$2:$C$200,"PP6",Schedule!$I$2:$I$200,"Caroline")+COUNTIFS(Schedule!$C$2:$C$200,"PP6",Schedule!$J$2:$J$200,"Caroline")</f>
        <v>6</v>
      </c>
      <c r="Y13">
        <f>COUNTIFS(Schedule!$C$2:$C$200,"PP6",Schedule!$D$2:$D$200,"Kristin")+COUNTIFS(Schedule!$C$2:$C$200,"PP6",Schedule!$E$2:$E$200,"Kristin")+COUNTIFS(Schedule!$C$2:$C$200,"PP6",Schedule!$F$2:$F$200,"Kristin")+COUNTIFS(Schedule!$C$2:$C$200,"PP6",Schedule!$G$2:$G$200,"Kristin")+COUNTIFS(Schedule!$C$2:$C$200,"PP6",Schedule!$H$2:$H$200,"Kristin")+COUNTIFS(Schedule!$C$2:$C$200,"PP6",Schedule!$I$2:$I$200,"Kristin")+COUNTIFS(Schedule!$C$2:$C$200,"PP6",Schedule!$J$2:$J$200,"Kristin")</f>
        <v>6</v>
      </c>
      <c r="Z13">
        <f>COUNTIFS(Schedule!$C$2:$C$200,"PP6",Schedule!$D$2:$D$200,"Radha")+COUNTIFS(Schedule!$C$2:$C$200,"PP6",Schedule!$E$2:$E$200,"Radha")+COUNTIFS(Schedule!$C$2:$C$200,"PP6",Schedule!$F$2:$F$200,"Radha")+COUNTIFS(Schedule!$C$2:$C$200,"PP6",Schedule!$G$2:$G$200,"Radha")+COUNTIFS(Schedule!$C$2:$C$200,"PP6",Schedule!$H$2:$H$200,"Radha")+COUNTIFS(Schedule!$C$2:$C$200,"PP6",Schedule!$I$2:$I$200,"Radha")+COUNTIFS(Schedule!$C$2:$C$200,"PP6",Schedule!$J$2:$J$200,"Radha")</f>
        <v>6</v>
      </c>
      <c r="AA13">
        <f>COUNTIFS(Schedule!$C$2:$C$200,"PP6",Schedule!$D$2:$D$200,"Jamie")+COUNTIFS(Schedule!$C$2:$C$200,"PP6",Schedule!$E$2:$E$200,"Jamie")+COUNTIFS(Schedule!$C$2:$C$200,"PP6",Schedule!$F$2:$F$200,"Jamie")+COUNTIFS(Schedule!$C$2:$C$200,"PP6",Schedule!$G$2:$G$200,"Jamie")+COUNTIFS(Schedule!$C$2:$C$200,"PP6",Schedule!$H$2:$H$200,"Jamie")+COUNTIFS(Schedule!$C$2:$C$200,"PP6",Schedule!$I$2:$I$200,"Jamie")+COUNTIFS(Schedule!$C$2:$C$200,"PP6",Schedule!$J$2:$J$200,"Jamie")</f>
        <v>6</v>
      </c>
      <c r="AB13">
        <f>COUNTIFS(Schedule!$C$2:$C$200,"PP6",Schedule!$D$2:$D$200,"Todd")+COUNTIFS(Schedule!$C$2:$C$200,"PP6",Schedule!$E$2:$E$200,"Todd")+COUNTIFS(Schedule!$C$2:$C$200,"PP6",Schedule!$F$2:$F$200,"Todd")+COUNTIFS(Schedule!$C$2:$C$200,"PP6",Schedule!$G$2:$G$200,"Todd")+COUNTIFS(Schedule!$C$2:$C$200,"PP6",Schedule!$H$2:$H$200,"Todd")+COUNTIFS(Schedule!$C$2:$C$200,"PP6",Schedule!$I$2:$I$200,"Todd")+COUNTIFS(Schedule!$C$2:$C$200,"PP6",Schedule!$J$2:$J$200,"Todd")</f>
        <v>5</v>
      </c>
      <c r="AC13">
        <f>COUNTIFS(Schedule!$C$2:$C$200,"PP6",Schedule!$D$2:$D$200,"Matt")+COUNTIFS(Schedule!$C$2:$C$200,"PP6",Schedule!$E$2:$E$200,"Matt")+COUNTIFS(Schedule!$C$2:$C$200,"PP6",Schedule!$F$2:$F$200,"Matt")+COUNTIFS(Schedule!$C$2:$C$200,"PP6",Schedule!$G$2:$G$200,"Matt")+COUNTIFS(Schedule!$C$2:$C$200,"PP6",Schedule!$H$2:$H$200,"Matt")+COUNTIFS(Schedule!$C$2:$C$200,"PP6",Schedule!$I$2:$I$200,"Matt")+COUNTIFS(Schedule!$C$2:$C$200,"PP6",Schedule!$J$2:$J$200,"Matt")</f>
        <v>0</v>
      </c>
      <c r="AD13">
        <f>COUNTIFS(Schedule!$C$2:$C$200,"PP6",Schedule!$D$2:$D$200,"Jen")+COUNTIFS(Schedule!$C$2:$C$200,"PP6",Schedule!$E$2:$E$200,"Jen")+COUNTIFS(Schedule!$C$2:$C$200,"PP6",Schedule!$F$2:$F$200,"Jen")+COUNTIFS(Schedule!$C$2:$C$200,"PP6",Schedule!$G$2:$G$200,"Jen")+COUNTIFS(Schedule!$C$2:$C$200,"PP6",Schedule!$H$2:$H$200,"Jen")+COUNTIFS(Schedule!$C$2:$C$200,"PP6",Schedule!$I$2:$I$200,"Jen")+COUNTIFS(Schedule!$C$2:$C$200,"PP6",Schedule!$J$2:$J$200,"Jen")</f>
        <v>0</v>
      </c>
      <c r="AE13">
        <f>COUNTIFS(Schedule!$C$2:$C$200,"PP6",Schedule!$D$2:$D$200,"Kennedy")+COUNTIFS(Schedule!$C$2:$C$200,"PP6",Schedule!$E$2:$E$200,"Kennedy")+COUNTIFS(Schedule!$C$2:$C$200,"PP6",Schedule!$F$2:$F$200,"Kennedy")+COUNTIFS(Schedule!$C$2:$C$200,"PP6",Schedule!$G$2:$G$200,"Kennedy")+COUNTIFS(Schedule!$C$2:$C$200,"PP6",Schedule!$H$2:$H$200,"Kennedy")+COUNTIFS(Schedule!$C$2:$C$200,"PP6",Schedule!$I$2:$I$200,"Kennedy")+COUNTIFS(Schedule!$C$2:$C$200,"PP6",Schedule!$J$2:$J$200,"Kennedy")</f>
        <v>0</v>
      </c>
      <c r="AF13">
        <f>COUNTIFS(Schedule!$C$2:$C$200,"PP6",Schedule!$D$2:$D$200,"Preet")+COUNTIFS(Schedule!$C$2:$C$200,"PP6",Schedule!$E$2:$E$200,"Preet")+COUNTIFS(Schedule!$C$2:$C$200,"PP6",Schedule!$F$2:$F$200,"Preet")+COUNTIFS(Schedule!$C$2:$C$200,"PP6",Schedule!$G$2:$G$200,"Preet")+COUNTIFS(Schedule!$C$2:$C$200,"PP6",Schedule!$H$2:$H$200,"Preet")+COUNTIFS(Schedule!$C$2:$C$200,"PP6",Schedule!$I$2:$I$200,"Preet")+COUNTIFS(Schedule!$C$2:$C$200,"PP6",Schedule!$J$2:$J$200,"Preet")</f>
        <v>0</v>
      </c>
      <c r="AG13">
        <f>COUNTIFS(Schedule!$C$2:$C$200,"PP6",Schedule!$D$2:$D$200,"Rose")+COUNTIFS(Schedule!$C$2:$C$200,"PP6",Schedule!$E$2:$E$200,"Rose")+COUNTIFS(Schedule!$C$2:$C$200,"PP6",Schedule!$F$2:$F$200,"Rose")+COUNTIFS(Schedule!$C$2:$C$200,"PP6",Schedule!$G$2:$G$200,"Rose")+COUNTIFS(Schedule!$C$2:$C$200,"PP6",Schedule!$H$2:$H$200,"Rose")+COUNTIFS(Schedule!$C$2:$C$200,"PP6",Schedule!$I$2:$I$200,"Rose")+COUNTIFS(Schedule!$C$2:$C$200,"PP6",Schedule!$J$2:$J$200,"Rose")</f>
        <v>0</v>
      </c>
      <c r="AH13">
        <f>COUNTIFS(Schedule!$C$2:$C$200,"PP6",Schedule!$D$2:$D$200,"Katia")+COUNTIFS(Schedule!$C$2:$C$200,"PP6",Schedule!$E$2:$E$200,"Katia")+COUNTIFS(Schedule!$C$2:$C$200,"PP6",Schedule!$F$2:$F$200,"Katia")+COUNTIFS(Schedule!$C$2:$C$200,"PP6",Schedule!$G$2:$G$200,"Katia")+COUNTIFS(Schedule!$C$2:$C$200,"PP6",Schedule!$H$2:$H$200,"Katia")+COUNTIFS(Schedule!$C$2:$C$200,"PP6",Schedule!$I$2:$I$200,"Katia")+COUNTIFS(Schedule!$C$2:$C$200,"PP6",Schedule!$J$2:$J$200,"Katia")</f>
        <v>0</v>
      </c>
    </row>
    <row r="14" spans="1:34" ht="18" customHeight="1" x14ac:dyDescent="0.35">
      <c r="A14" s="19"/>
      <c r="B14" s="19" t="s">
        <v>2</v>
      </c>
      <c r="C14" s="19" t="s">
        <v>42</v>
      </c>
      <c r="D14" s="19" t="s">
        <v>43</v>
      </c>
      <c r="E14" s="19" t="s">
        <v>44</v>
      </c>
      <c r="F14" s="19" t="s">
        <v>45</v>
      </c>
      <c r="G14" s="19" t="s">
        <v>46</v>
      </c>
      <c r="H14" s="19" t="s">
        <v>47</v>
      </c>
      <c r="I14" s="19" t="s">
        <v>48</v>
      </c>
      <c r="J14" s="19" t="s">
        <v>49</v>
      </c>
      <c r="K14" s="19" t="s">
        <v>50</v>
      </c>
      <c r="L14" s="19" t="s">
        <v>51</v>
      </c>
      <c r="M14" s="19" t="s">
        <v>52</v>
      </c>
      <c r="N14" s="19" t="s">
        <v>53</v>
      </c>
      <c r="O14" s="19" t="s">
        <v>54</v>
      </c>
      <c r="P14" s="19" t="s">
        <v>55</v>
      </c>
      <c r="Q14" s="19" t="s">
        <v>56</v>
      </c>
      <c r="R14" s="28" t="s">
        <v>66</v>
      </c>
      <c r="S14">
        <f>COUNTIFS(Schedule!$C$2:$C$200,"PP7",Schedule!$D$2:$D$200,"Katie")+COUNTIFS(Schedule!$C$2:$C$200,"PP7",Schedule!$E$2:$E$200,"Katie")+COUNTIFS(Schedule!$C$2:$C$200,"PP7",Schedule!$F$2:$F$200,"Katie")+COUNTIFS(Schedule!$C$2:$C$200,"PP7",Schedule!$G$2:$G$200,"Katie")+COUNTIFS(Schedule!$C$2:$C$200,"PP7",Schedule!$H$2:$H$200,"Katie")+COUNTIFS(Schedule!$C$2:$C$200,"PP7",Schedule!$I$2:$I$200,"Katie")+COUNTIFS(Schedule!$C$2:$C$200,"PP7",Schedule!$J$2:$J$200,"Katie")</f>
        <v>5</v>
      </c>
      <c r="T14">
        <f>COUNTIFS(Schedule!$C$2:$C$200,"PP7",Schedule!$D$2:$D$200,"Hayden")+COUNTIFS(Schedule!$C$2:$C$200,"PP7",Schedule!$E$2:$E$200,"Hayden")+COUNTIFS(Schedule!$C$2:$C$200,"PP7",Schedule!$F$2:$F$200,"Hayden")+COUNTIFS(Schedule!$C$2:$C$200,"PP7",Schedule!$G$2:$G$200,"Hayden")+COUNTIFS(Schedule!$C$2:$C$200,"PP7",Schedule!$H$2:$H$200,"Hayden")+COUNTIFS(Schedule!$C$2:$C$200,"PP7",Schedule!$I$2:$I$200,"Hayden")+COUNTIFS(Schedule!$C$2:$C$200,"PP7",Schedule!$J$2:$J$200,"Hayden")</f>
        <v>6</v>
      </c>
      <c r="U14">
        <f>COUNTIFS(Schedule!$C$2:$C$200,"PP7",Schedule!$D$2:$D$200,"John")+COUNTIFS(Schedule!$C$2:$C$200,"PP7",Schedule!$E$2:$E$200,"John")+COUNTIFS(Schedule!$C$2:$C$200,"PP7",Schedule!$F$2:$F$200,"John")+COUNTIFS(Schedule!$C$2:$C$200,"PP7",Schedule!$G$2:$G$200,"John")+COUNTIFS(Schedule!$C$2:$C$200,"PP7",Schedule!$H$2:$H$200,"John")+COUNTIFS(Schedule!$C$2:$C$200,"PP7",Schedule!$I$2:$I$200,"John")+COUNTIFS(Schedule!$C$2:$C$200,"PP7",Schedule!$J$2:$J$200,"John")</f>
        <v>6</v>
      </c>
      <c r="V14">
        <f>COUNTIFS(Schedule!$C$2:$C$200,"PP7",Schedule!$D$2:$D$200,"Maureen")+COUNTIFS(Schedule!$C$2:$C$200,"PP7",Schedule!$E$2:$E$200,"Maureen")+COUNTIFS(Schedule!$C$2:$C$200,"PP7",Schedule!$F$2:$F$200,"Maureen")+COUNTIFS(Schedule!$C$2:$C$200,"PP7",Schedule!$G$2:$G$200,"Maureen")+COUNTIFS(Schedule!$C$2:$C$200,"PP7",Schedule!$H$2:$H$200,"Maureen")+COUNTIFS(Schedule!$C$2:$C$200,"PP7",Schedule!$I$2:$I$200,"Maureen")+COUNTIFS(Schedule!$C$2:$C$200,"PP7",Schedule!$J$2:$J$200,"Maureen")</f>
        <v>6</v>
      </c>
      <c r="W14">
        <f>COUNTIFS(Schedule!$C$2:$C$200,"PP7",Schedule!$D$2:$D$200,"Mandie")+COUNTIFS(Schedule!$C$2:$C$200,"PP7",Schedule!$E$2:$E$200,"Mandie")+COUNTIFS(Schedule!$C$2:$C$200,"PP7",Schedule!$F$2:$F$200,"Mandie")+COUNTIFS(Schedule!$C$2:$C$200,"PP7",Schedule!$G$2:$G$200,"Mandie")+COUNTIFS(Schedule!$C$2:$C$200,"PP7",Schedule!$H$2:$H$200,"Mandie")+COUNTIFS(Schedule!$C$2:$C$200,"PP7",Schedule!$I$2:$I$200,"Mandie")+COUNTIFS(Schedule!$C$2:$C$200,"PP7",Schedule!$J$2:$J$200,"Mandie")</f>
        <v>6</v>
      </c>
      <c r="X14">
        <f>COUNTIFS(Schedule!$C$2:$C$200,"PP7",Schedule!$D$2:$D$200,"Caroline")+COUNTIFS(Schedule!$C$2:$C$200,"PP7",Schedule!$E$2:$E$200,"Caroline")+COUNTIFS(Schedule!$C$2:$C$200,"PP7",Schedule!$F$2:$F$200,"Caroline")+COUNTIFS(Schedule!$C$2:$C$200,"PP7",Schedule!$G$2:$G$200,"Caroline")+COUNTIFS(Schedule!$C$2:$C$200,"PP7",Schedule!$H$2:$H$200,"Caroline")+COUNTIFS(Schedule!$C$2:$C$200,"PP7",Schedule!$I$2:$I$200,"Caroline")+COUNTIFS(Schedule!$C$2:$C$200,"PP7",Schedule!$J$2:$J$200,"Caroline")</f>
        <v>6</v>
      </c>
      <c r="Y14">
        <f>COUNTIFS(Schedule!$C$2:$C$200,"PP7",Schedule!$D$2:$D$200,"Kristin")+COUNTIFS(Schedule!$C$2:$C$200,"PP7",Schedule!$E$2:$E$200,"Kristin")+COUNTIFS(Schedule!$C$2:$C$200,"PP7",Schedule!$F$2:$F$200,"Kristin")+COUNTIFS(Schedule!$C$2:$C$200,"PP7",Schedule!$G$2:$G$200,"Kristin")+COUNTIFS(Schedule!$C$2:$C$200,"PP7",Schedule!$H$2:$H$200,"Kristin")+COUNTIFS(Schedule!$C$2:$C$200,"PP7",Schedule!$I$2:$I$200,"Kristin")+COUNTIFS(Schedule!$C$2:$C$200,"PP7",Schedule!$J$2:$J$200,"Kristin")</f>
        <v>6</v>
      </c>
      <c r="Z14">
        <f>COUNTIFS(Schedule!$C$2:$C$200,"PP7",Schedule!$D$2:$D$200,"Radha")+COUNTIFS(Schedule!$C$2:$C$200,"PP7",Schedule!$E$2:$E$200,"Radha")+COUNTIFS(Schedule!$C$2:$C$200,"PP7",Schedule!$F$2:$F$200,"Radha")+COUNTIFS(Schedule!$C$2:$C$200,"PP7",Schedule!$G$2:$G$200,"Radha")+COUNTIFS(Schedule!$C$2:$C$200,"PP7",Schedule!$H$2:$H$200,"Radha")+COUNTIFS(Schedule!$C$2:$C$200,"PP7",Schedule!$I$2:$I$200,"Radha")+COUNTIFS(Schedule!$C$2:$C$200,"PP7",Schedule!$J$2:$J$200,"Radha")</f>
        <v>3</v>
      </c>
      <c r="AA14">
        <f>COUNTIFS(Schedule!$C$2:$C$200,"PP7",Schedule!$D$2:$D$200,"Jamie")+COUNTIFS(Schedule!$C$2:$C$200,"PP7",Schedule!$E$2:$E$200,"Jamie")+COUNTIFS(Schedule!$C$2:$C$200,"PP7",Schedule!$F$2:$F$200,"Jamie")+COUNTIFS(Schedule!$C$2:$C$200,"PP7",Schedule!$G$2:$G$200,"Jamie")+COUNTIFS(Schedule!$C$2:$C$200,"PP7",Schedule!$H$2:$H$200,"Jamie")+COUNTIFS(Schedule!$C$2:$C$200,"PP7",Schedule!$I$2:$I$200,"Jamie")+COUNTIFS(Schedule!$C$2:$C$200,"PP7",Schedule!$J$2:$J$200,"Jamie")</f>
        <v>6</v>
      </c>
      <c r="AB14">
        <f>COUNTIFS(Schedule!$C$2:$C$200,"PP7",Schedule!$D$2:$D$200,"Todd")+COUNTIFS(Schedule!$C$2:$C$200,"PP7",Schedule!$E$2:$E$200,"Todd")+COUNTIFS(Schedule!$C$2:$C$200,"PP7",Schedule!$F$2:$F$200,"Todd")+COUNTIFS(Schedule!$C$2:$C$200,"PP7",Schedule!$G$2:$G$200,"Todd")+COUNTIFS(Schedule!$C$2:$C$200,"PP7",Schedule!$H$2:$H$200,"Todd")+COUNTIFS(Schedule!$C$2:$C$200,"PP7",Schedule!$I$2:$I$200,"Todd")+COUNTIFS(Schedule!$C$2:$C$200,"PP7",Schedule!$J$2:$J$200,"Todd")</f>
        <v>6</v>
      </c>
      <c r="AC14">
        <f>COUNTIFS(Schedule!$C$2:$C$200,"PP7",Schedule!$D$2:$D$200,"Matt")+COUNTIFS(Schedule!$C$2:$C$200,"PP7",Schedule!$E$2:$E$200,"Matt")+COUNTIFS(Schedule!$C$2:$C$200,"PP7",Schedule!$F$2:$F$200,"Matt")+COUNTIFS(Schedule!$C$2:$C$200,"PP7",Schedule!$G$2:$G$200,"Matt")+COUNTIFS(Schedule!$C$2:$C$200,"PP7",Schedule!$H$2:$H$200,"Matt")+COUNTIFS(Schedule!$C$2:$C$200,"PP7",Schedule!$I$2:$I$200,"Matt")+COUNTIFS(Schedule!$C$2:$C$200,"PP7",Schedule!$J$2:$J$200,"Matt")</f>
        <v>0</v>
      </c>
      <c r="AD14">
        <f>COUNTIFS(Schedule!$C$2:$C$200,"PP7",Schedule!$D$2:$D$200,"Jen")+COUNTIFS(Schedule!$C$2:$C$200,"PP7",Schedule!$E$2:$E$200,"Jen")+COUNTIFS(Schedule!$C$2:$C$200,"PP7",Schedule!$F$2:$F$200,"Jen")+COUNTIFS(Schedule!$C$2:$C$200,"PP7",Schedule!$G$2:$G$200,"Jen")+COUNTIFS(Schedule!$C$2:$C$200,"PP7",Schedule!$H$2:$H$200,"Jen")+COUNTIFS(Schedule!$C$2:$C$200,"PP7",Schedule!$I$2:$I$200,"Jen")+COUNTIFS(Schedule!$C$2:$C$200,"PP7",Schedule!$J$2:$J$200,"Jen")</f>
        <v>0</v>
      </c>
      <c r="AE14">
        <f>COUNTIFS(Schedule!$C$2:$C$200,"PP7",Schedule!$D$2:$D$200,"Kennedy")+COUNTIFS(Schedule!$C$2:$C$200,"PP7",Schedule!$E$2:$E$200,"Kennedy")+COUNTIFS(Schedule!$C$2:$C$200,"PP7",Schedule!$F$2:$F$200,"Kennedy")+COUNTIFS(Schedule!$C$2:$C$200,"PP7",Schedule!$G$2:$G$200,"Kennedy")+COUNTIFS(Schedule!$C$2:$C$200,"PP7",Schedule!$H$2:$H$200,"Kennedy")+COUNTIFS(Schedule!$C$2:$C$200,"PP7",Schedule!$I$2:$I$200,"Kennedy")+COUNTIFS(Schedule!$C$2:$C$200,"PP7",Schedule!$J$2:$J$200,"Kennedy")</f>
        <v>0</v>
      </c>
      <c r="AF14">
        <f>COUNTIFS(Schedule!$C$2:$C$200,"PP7",Schedule!$D$2:$D$200,"Preet")+COUNTIFS(Schedule!$C$2:$C$200,"PP7",Schedule!$E$2:$E$200,"Preet")+COUNTIFS(Schedule!$C$2:$C$200,"PP7",Schedule!$F$2:$F$200,"Preet")+COUNTIFS(Schedule!$C$2:$C$200,"PP7",Schedule!$G$2:$G$200,"Preet")+COUNTIFS(Schedule!$C$2:$C$200,"PP7",Schedule!$H$2:$H$200,"Preet")+COUNTIFS(Schedule!$C$2:$C$200,"PP7",Schedule!$I$2:$I$200,"Preet")+COUNTIFS(Schedule!$C$2:$C$200,"PP7",Schedule!$J$2:$J$200,"Preet")</f>
        <v>0</v>
      </c>
      <c r="AG14">
        <f>COUNTIFS(Schedule!$C$2:$C$200,"PP7",Schedule!$D$2:$D$200,"Rose")+COUNTIFS(Schedule!$C$2:$C$200,"PP7",Schedule!$E$2:$E$200,"Rose")+COUNTIFS(Schedule!$C$2:$C$200,"PP7",Schedule!$F$2:$F$200,"Rose")+COUNTIFS(Schedule!$C$2:$C$200,"PP7",Schedule!$G$2:$G$200,"Rose")+COUNTIFS(Schedule!$C$2:$C$200,"PP7",Schedule!$H$2:$H$200,"Rose")+COUNTIFS(Schedule!$C$2:$C$200,"PP7",Schedule!$I$2:$I$200,"Rose")+COUNTIFS(Schedule!$C$2:$C$200,"PP7",Schedule!$J$2:$J$200,"Rose")</f>
        <v>0</v>
      </c>
      <c r="AH14">
        <f>COUNTIFS(Schedule!$C$2:$C$200,"PP7",Schedule!$D$2:$D$200,"Katia")+COUNTIFS(Schedule!$C$2:$C$200,"PP7",Schedule!$E$2:$E$200,"Katia")+COUNTIFS(Schedule!$C$2:$C$200,"PP7",Schedule!$F$2:$F$200,"Katia")+COUNTIFS(Schedule!$C$2:$C$200,"PP7",Schedule!$G$2:$G$200,"Katia")+COUNTIFS(Schedule!$C$2:$C$200,"PP7",Schedule!$H$2:$H$200,"Katia")+COUNTIFS(Schedule!$C$2:$C$200,"PP7",Schedule!$I$2:$I$200,"Katia")+COUNTIFS(Schedule!$C$2:$C$200,"PP7",Schedule!$J$2:$J$200,"Katia")</f>
        <v>0</v>
      </c>
    </row>
    <row r="15" spans="1:34" ht="16" customHeight="1" x14ac:dyDescent="0.35">
      <c r="A15" s="29" t="s">
        <v>67</v>
      </c>
      <c r="B15" s="30" t="str">
        <f>(S8+0+MAX(COUNTIFS(Schedule!$C$2:$C$200,"PP1",Schedule!$K$2:$K$200,"PTO"),0))&amp;"/6"&amp;IF(MAX(COUNTIFS(Schedule!$C$2:$C$200,"PP1",Schedule!$K$2:$K$200,"PTO"),0)&gt;0,"  "&amp;MAX(COUNTIFS(Schedule!$C$2:$C$200,"PP1",Schedule!$K$2:$K$200,"PTO"),0)&amp;" PTO","")</f>
        <v>6/6</v>
      </c>
      <c r="C15" s="30" t="str">
        <f>(T8+0+MAX(COUNTIFS(Schedule!$C$2:$C$200,"PP1",Schedule!$L$2:$L$200,"PTO"),1))&amp;"/6"&amp;IF(MAX(COUNTIFS(Schedule!$C$2:$C$200,"PP1",Schedule!$L$2:$L$200,"PTO"),1)&gt;0,"  "&amp;MAX(COUNTIFS(Schedule!$C$2:$C$200,"PP1",Schedule!$L$2:$L$200,"PTO"),1)&amp;" PTO","")</f>
        <v>6/6  1 PTO</v>
      </c>
      <c r="D15" s="30" t="str">
        <f>(U8+0+MAX(COUNTIFS(Schedule!$C$2:$C$200,"PP1",Schedule!$M$2:$M$200,"PTO"),0))&amp;"/6"&amp;IF(MAX(COUNTIFS(Schedule!$C$2:$C$200,"PP1",Schedule!$M$2:$M$200,"PTO"),0)&gt;0,"  "&amp;MAX(COUNTIFS(Schedule!$C$2:$C$200,"PP1",Schedule!$M$2:$M$200,"PTO"),0)&amp;" PTO","")</f>
        <v>6/6</v>
      </c>
      <c r="E15" s="30" t="str">
        <f>(V8+2+MAX(COUNTIFS(Schedule!$C$2:$C$200,"PP1",Schedule!$N$2:$N$200,"PTO"),0))&amp;"/6"&amp;IF(MAX(COUNTIFS(Schedule!$C$2:$C$200,"PP1",Schedule!$N$2:$N$200,"PTO"),0)&gt;0,"  2 CME, "&amp;MAX(COUNTIFS(Schedule!$C$2:$C$200,"PP1",Schedule!$N$2:$N$200,"PTO"),0)&amp;" PTO","  2 CME")</f>
        <v>6/6  2 CME</v>
      </c>
      <c r="F15" s="30" t="str">
        <f>(W8+0+MAX(COUNTIFS(Schedule!$C$2:$C$200,"PP1",Schedule!$O$2:$O$200,"PTO"),1))&amp;"/6"&amp;IF(MAX(COUNTIFS(Schedule!$C$2:$C$200,"PP1",Schedule!$O$2:$O$200,"PTO"),1)&gt;0,"  "&amp;MAX(COUNTIFS(Schedule!$C$2:$C$200,"PP1",Schedule!$O$2:$O$200,"PTO"),1)&amp;" PTO","")</f>
        <v>6/6  1 PTO</v>
      </c>
      <c r="G15" s="30" t="str">
        <f>(X8+2+MAX(COUNTIFS(Schedule!$C$2:$C$200,"PP1",Schedule!$P$2:$P$200,"PTO"),0))&amp;"/6"&amp;IF(MAX(COUNTIFS(Schedule!$C$2:$C$200,"PP1",Schedule!$P$2:$P$200,"PTO"),0)&gt;0,"  2 CME, "&amp;MAX(COUNTIFS(Schedule!$C$2:$C$200,"PP1",Schedule!$P$2:$P$200,"PTO"),0)&amp;" PTO","  2 CME")</f>
        <v>6/6  2 CME</v>
      </c>
      <c r="H15" s="30" t="str">
        <f>(Y8+2+MAX(COUNTIFS(Schedule!$C$2:$C$200,"PP1",Schedule!$Q$2:$Q$200,"PTO"),0))&amp;"/6"&amp;IF(MAX(COUNTIFS(Schedule!$C$2:$C$200,"PP1",Schedule!$Q$2:$Q$200,"PTO"),0)&gt;0,"  2 CME, "&amp;MAX(COUNTIFS(Schedule!$C$2:$C$200,"PP1",Schedule!$Q$2:$Q$200,"PTO"),0)&amp;" PTO","  2 CME")</f>
        <v>6/6  2 CME</v>
      </c>
      <c r="I15" s="30" t="str">
        <f>(Z8+0+MAX(COUNTIFS(Schedule!$C$2:$C$200,"PP1",Schedule!$R$2:$R$200,"PTO"),0))&amp;"/6"&amp;IF(MAX(COUNTIFS(Schedule!$C$2:$C$200,"PP1",Schedule!$R$2:$R$200,"PTO"),0)&gt;0,"  "&amp;MAX(COUNTIFS(Schedule!$C$2:$C$200,"PP1",Schedule!$R$2:$R$200,"PTO"),0)&amp;" PTO","")</f>
        <v>6/6</v>
      </c>
      <c r="J15" s="30" t="str">
        <f>(AA8+0+MAX(COUNTIFS(Schedule!$C$2:$C$200,"PP1",Schedule!$S$2:$S$200,"PTO"),6))&amp;"/6"&amp;IF(MAX(COUNTIFS(Schedule!$C$2:$C$200,"PP1",Schedule!$S$2:$S$200,"PTO"),6)&gt;0,"  "&amp;MAX(COUNTIFS(Schedule!$C$2:$C$200,"PP1",Schedule!$S$2:$S$200,"PTO"),6)&amp;" PTO","")</f>
        <v>6/6  6 PTO</v>
      </c>
      <c r="K15" s="30" t="str">
        <f>(AB8+0+MAX(COUNTIFS(Schedule!$C$2:$C$200,"PP1",Schedule!$T$2:$T$200,"PTO"),0))&amp;"/6"&amp;IF(MAX(COUNTIFS(Schedule!$C$2:$C$200,"PP1",Schedule!$T$2:$T$200,"PTO"),0)&gt;0,"  "&amp;MAX(COUNTIFS(Schedule!$C$2:$C$200,"PP1",Schedule!$T$2:$T$200,"PTO"),0)&amp;" PTO","")</f>
        <v>6/6</v>
      </c>
      <c r="L15" s="30" t="str">
        <f>(AC8+0+MAX(COUNTIFS(Schedule!$C$2:$C$200,"PP1",Schedule!$U$2:$U$200,"PTO"),0))&amp;"/0"&amp;IF(MAX(COUNTIFS(Schedule!$C$2:$C$200,"PP1",Schedule!$U$2:$U$200,"PTO"),0)&gt;0,"  "&amp;MAX(COUNTIFS(Schedule!$C$2:$C$200,"PP1",Schedule!$U$2:$U$200,"PTO"),0)&amp;" PTO","")</f>
        <v>0/0</v>
      </c>
      <c r="M15" s="30" t="str">
        <f>(AD8+0+MAX(COUNTIFS(Schedule!$C$2:$C$200,"PP1",Schedule!$V$2:$V$200,"PTO"),0))&amp;"/0"&amp;IF(MAX(COUNTIFS(Schedule!$C$2:$C$200,"PP1",Schedule!$V$2:$V$200,"PTO"),0)&gt;0,"  "&amp;MAX(COUNTIFS(Schedule!$C$2:$C$200,"PP1",Schedule!$V$2:$V$200,"PTO"),0)&amp;" PTO","")</f>
        <v>0/0</v>
      </c>
      <c r="N15" s="30" t="str">
        <f>(AE8+0+MAX(COUNTIFS(Schedule!$C$2:$C$200,"PP1",Schedule!$W$2:$W$200,"PTO"),0))&amp;"/0"&amp;IF(MAX(COUNTIFS(Schedule!$C$2:$C$200,"PP1",Schedule!$W$2:$W$200,"PTO"),0)&gt;0,"  "&amp;MAX(COUNTIFS(Schedule!$C$2:$C$200,"PP1",Schedule!$W$2:$W$200,"PTO"),0)&amp;" PTO","")</f>
        <v>0/0</v>
      </c>
      <c r="O15" s="30" t="str">
        <f>(AF8+0+MAX(COUNTIFS(Schedule!$C$2:$C$200,"PP1",Schedule!$X$2:$X$200,"PTO"),0))&amp;"/0"&amp;IF(MAX(COUNTIFS(Schedule!$C$2:$C$200,"PP1",Schedule!$X$2:$X$200,"PTO"),0)&gt;0,"  "&amp;MAX(COUNTIFS(Schedule!$C$2:$C$200,"PP1",Schedule!$X$2:$X$200,"PTO"),0)&amp;" PTO","")</f>
        <v>0/0</v>
      </c>
      <c r="P15" s="30" t="str">
        <f>(AG8+0+MAX(COUNTIFS(Schedule!$C$2:$C$200,"PP1",Schedule!$Y$2:$Y$200,"PTO"),0))&amp;"/0"&amp;IF(MAX(COUNTIFS(Schedule!$C$2:$C$200,"PP1",Schedule!$Y$2:$Y$200,"PTO"),0)&gt;0,"  "&amp;MAX(COUNTIFS(Schedule!$C$2:$C$200,"PP1",Schedule!$Y$2:$Y$200,"PTO"),0)&amp;" PTO","")</f>
        <v>0/0</v>
      </c>
      <c r="Q15" s="30" t="str">
        <f>(AH8+0+MAX(COUNTIFS(Schedule!$C$2:$C$200,"PP1",Schedule!$Z$2:$Z$200,"PTO"),0))&amp;"/0"&amp;IF(MAX(COUNTIFS(Schedule!$C$2:$C$200,"PP1",Schedule!$Z$2:$Z$200,"PTO"),0)&gt;0,"  "&amp;MAX(COUNTIFS(Schedule!$C$2:$C$200,"PP1",Schedule!$Z$2:$Z$200,"PTO"),0)&amp;" PTO","")</f>
        <v>0/0</v>
      </c>
      <c r="R15" s="30">
        <f>COUNTBLANK(Schedule!$D$4:$G$17)</f>
        <v>10</v>
      </c>
    </row>
    <row r="16" spans="1:34" ht="16" customHeight="1" x14ac:dyDescent="0.35">
      <c r="A16" s="29" t="s">
        <v>68</v>
      </c>
      <c r="B16" s="30" t="str">
        <f>(S9+0+MAX(COUNTIFS(Schedule!$C$2:$C$200,"PP2",Schedule!$K$2:$K$200,"PTO"),0))&amp;"/6"&amp;IF(MAX(COUNTIFS(Schedule!$C$2:$C$200,"PP2",Schedule!$K$2:$K$200,"PTO"),0)&gt;0,"  "&amp;MAX(COUNTIFS(Schedule!$C$2:$C$200,"PP2",Schedule!$K$2:$K$200,"PTO"),0)&amp;" PTO","")</f>
        <v>6/6</v>
      </c>
      <c r="C16" s="30" t="str">
        <f>(T9+1+MAX(COUNTIFS(Schedule!$C$2:$C$200,"PP2",Schedule!$L$2:$L$200,"PTO"),0))&amp;"/6"&amp;IF(MAX(COUNTIFS(Schedule!$C$2:$C$200,"PP2",Schedule!$L$2:$L$200,"PTO"),0)&gt;0,"  1 CME, "&amp;MAX(COUNTIFS(Schedule!$C$2:$C$200,"PP2",Schedule!$L$2:$L$200,"PTO"),0)&amp;" PTO","  1 CME")</f>
        <v>6/6  1 CME</v>
      </c>
      <c r="D16" s="30" t="str">
        <f>(U9+0+MAX(COUNTIFS(Schedule!$C$2:$C$200,"PP2",Schedule!$M$2:$M$200,"PTO"),0))&amp;"/6"&amp;IF(MAX(COUNTIFS(Schedule!$C$2:$C$200,"PP2",Schedule!$M$2:$M$200,"PTO"),0)&gt;0,"  "&amp;MAX(COUNTIFS(Schedule!$C$2:$C$200,"PP2",Schedule!$M$2:$M$200,"PTO"),0)&amp;" PTO","")</f>
        <v>6/6</v>
      </c>
      <c r="E16" s="30" t="str">
        <f>(V9+1+MAX(COUNTIFS(Schedule!$C$2:$C$200,"PP2",Schedule!$N$2:$N$200,"PTO"),0))&amp;"/6"&amp;IF(MAX(COUNTIFS(Schedule!$C$2:$C$200,"PP2",Schedule!$N$2:$N$200,"PTO"),0)&gt;0,"  1 CME, "&amp;MAX(COUNTIFS(Schedule!$C$2:$C$200,"PP2",Schedule!$N$2:$N$200,"PTO"),0)&amp;" PTO","  1 CME")</f>
        <v>6/6  1 CME</v>
      </c>
      <c r="F16" s="30" t="str">
        <f>(W9+1+MAX(COUNTIFS(Schedule!$C$2:$C$200,"PP2",Schedule!$O$2:$O$200,"PTO"),0))&amp;"/6"&amp;IF(MAX(COUNTIFS(Schedule!$C$2:$C$200,"PP2",Schedule!$O$2:$O$200,"PTO"),0)&gt;0,"  1 CME, "&amp;MAX(COUNTIFS(Schedule!$C$2:$C$200,"PP2",Schedule!$O$2:$O$200,"PTO"),0)&amp;" PTO","  1 CME")</f>
        <v>6/6  1 CME</v>
      </c>
      <c r="G16" s="30" t="str">
        <f>(X9+0+MAX(COUNTIFS(Schedule!$C$2:$C$200,"PP3",Schedule!$Q$2:$Q$200,"PTO"),0))&amp;"/6"&amp;IF(MAX(COUNTIFS(Schedule!$C$2:$C$200,"PP3",Schedule!$Q$2:$Q$200,"PTO"),0)&gt;0,"  "&amp;MAX(COUNTIFS(Schedule!$C$2:$C$200,"PP3",Schedule!$Q$2:$Q$200,"PTO"),0)&amp;" PTO","")</f>
        <v>6/6</v>
      </c>
      <c r="H16" s="30" t="str">
        <f>(Y9+1+MAX(COUNTIFS(Schedule!$C$2:$C$200,"PP2",Schedule!$Q$2:$Q$200,"PTO"),0))&amp;"/6"&amp;IF(MAX(COUNTIFS(Schedule!$C$2:$C$200,"PP2",Schedule!$Q$2:$Q$200,"PTO"),0)&gt;0,"  1 CME, "&amp;MAX(COUNTIFS(Schedule!$C$2:$C$200,"PP2",Schedule!$Q$2:$Q$200,"PTO"),0)&amp;" PTO","  1 CME")</f>
        <v>6/6  1 CME</v>
      </c>
      <c r="I16" s="30" t="str">
        <f>(Z9+0+MAX(COUNTIFS(Schedule!$C$2:$C$200,"PP2",Schedule!$R$2:$R$200,"PTO"),1))&amp;"/6"&amp;IF(MAX(COUNTIFS(Schedule!$C$2:$C$200,"PP2",Schedule!$R$2:$R$200,"PTO"),1)&gt;0,"  "&amp;MAX(COUNTIFS(Schedule!$C$2:$C$200,"PP2",Schedule!$R$2:$R$200,"PTO"),1)&amp;" PTO","")</f>
        <v>6/6  1 PTO</v>
      </c>
      <c r="J16" s="30" t="str">
        <f>(AA9+0+MAX(COUNTIFS(Schedule!$C$2:$C$200,"PP2",Schedule!$S$2:$S$200,"PTO"),6))&amp;"/6"&amp;IF(MAX(COUNTIFS(Schedule!$C$2:$C$200,"PP2",Schedule!$S$2:$S$200,"PTO"),6)&gt;0,"  "&amp;MAX(COUNTIFS(Schedule!$C$2:$C$200,"PP2",Schedule!$S$2:$S$200,"PTO"),6)&amp;" PTO","")</f>
        <v>6/6  6 PTO</v>
      </c>
      <c r="K16" s="30" t="str">
        <f>(AB9+1+MAX(COUNTIFS(Schedule!$C$2:$C$200,"PP2",Schedule!$T$2:$T$200,"PTO"),0))&amp;"/6"&amp;IF(MAX(COUNTIFS(Schedule!$C$2:$C$200,"PP2",Schedule!$T$2:$T$200,"PTO"),0)&gt;0,"  1 CME, "&amp;MAX(COUNTIFS(Schedule!$C$2:$C$200,"PP2",Schedule!$T$2:$T$200,"PTO"),0)&amp;" PTO","  1 CME")</f>
        <v>6/6  1 CME</v>
      </c>
      <c r="L16" s="30" t="str">
        <f>(AC9+0+MAX(COUNTIFS(Schedule!$C$2:$C$200,"PP2",Schedule!$U$2:$U$200,"PTO"),0))&amp;"/0"&amp;IF(MAX(COUNTIFS(Schedule!$C$2:$C$200,"PP2",Schedule!$U$2:$U$200,"PTO"),0)&gt;0,"  "&amp;MAX(COUNTIFS(Schedule!$C$2:$C$200,"PP2",Schedule!$U$2:$U$200,"PTO"),0)&amp;" PTO","")</f>
        <v>0/0</v>
      </c>
      <c r="M16" s="30" t="str">
        <f>(AD9+0+MAX(COUNTIFS(Schedule!$C$2:$C$200,"PP2",Schedule!$V$2:$V$200,"PTO"),0))&amp;"/0"&amp;IF(MAX(COUNTIFS(Schedule!$C$2:$C$200,"PP2",Schedule!$V$2:$V$200,"PTO"),0)&gt;0,"  "&amp;MAX(COUNTIFS(Schedule!$C$2:$C$200,"PP2",Schedule!$V$2:$V$200,"PTO"),0)&amp;" PTO","")</f>
        <v>0/0</v>
      </c>
      <c r="N16" s="30" t="str">
        <f>(AE9+0+MAX(COUNTIFS(Schedule!$C$2:$C$200,"PP2",Schedule!$W$2:$W$200,"PTO"),0))&amp;"/0"&amp;IF(MAX(COUNTIFS(Schedule!$C$2:$C$200,"PP2",Schedule!$W$2:$W$200,"PTO"),0)&gt;0,"  "&amp;MAX(COUNTIFS(Schedule!$C$2:$C$200,"PP2",Schedule!$W$2:$W$200,"PTO"),0)&amp;" PTO","")</f>
        <v>0/0</v>
      </c>
      <c r="O16" s="30" t="str">
        <f>(AF9+0+MAX(COUNTIFS(Schedule!$C$2:$C$200,"PP2",Schedule!$X$2:$X$200,"PTO"),0))&amp;"/0"&amp;IF(MAX(COUNTIFS(Schedule!$C$2:$C$200,"PP2",Schedule!$X$2:$X$200,"PTO"),0)&gt;0,"  "&amp;MAX(COUNTIFS(Schedule!$C$2:$C$200,"PP2",Schedule!$X$2:$X$200,"PTO"),0)&amp;" PTO","")</f>
        <v>0/0</v>
      </c>
      <c r="P16" s="30" t="str">
        <f>(AG9+0+MAX(COUNTIFS(Schedule!$C$2:$C$200,"PP2",Schedule!$Y$2:$Y$200,"PTO"),0))&amp;"/0"&amp;IF(MAX(COUNTIFS(Schedule!$C$2:$C$200,"PP2",Schedule!$Y$2:$Y$200,"PTO"),0)&gt;0,"  "&amp;MAX(COUNTIFS(Schedule!$C$2:$C$200,"PP2",Schedule!$Y$2:$Y$200,"PTO"),0)&amp;" PTO","")</f>
        <v>0/0</v>
      </c>
      <c r="Q16" s="30" t="str">
        <f>(AH9+0+MAX(COUNTIFS(Schedule!$C$2:$C$200,"PP2",Schedule!$Z$2:$Z$200,"PTO"),0))&amp;"/0"&amp;IF(MAX(COUNTIFS(Schedule!$C$2:$C$200,"PP2",Schedule!$Z$2:$Z$200,"PTO"),0)&gt;0,"  "&amp;MAX(COUNTIFS(Schedule!$C$2:$C$200,"PP2",Schedule!$Z$2:$Z$200,"PTO"),0)&amp;" PTO","")</f>
        <v>0/0</v>
      </c>
      <c r="R16" s="30">
        <f>COUNTBLANK(Schedule!$D$19:$G$32)</f>
        <v>8</v>
      </c>
    </row>
    <row r="17" spans="1:18" ht="16" customHeight="1" x14ac:dyDescent="0.35">
      <c r="A17" s="29" t="s">
        <v>69</v>
      </c>
      <c r="B17" s="30" t="str">
        <f>(S10+0+MAX(COUNTIFS(Schedule!$C$2:$C$200,"PP3",Schedule!$K$2:$K$200,"PTO"),0))&amp;"/6"&amp;IF(MAX(COUNTIFS(Schedule!$C$2:$C$200,"PP3",Schedule!$K$2:$K$200,"PTO"),0)&gt;0,"  "&amp;MAX(COUNTIFS(Schedule!$C$2:$C$200,"PP3",Schedule!$K$2:$K$200,"PTO"),0)&amp;" PTO","")</f>
        <v>6/6</v>
      </c>
      <c r="C17" s="30" t="str">
        <f>(T10+0+MAX(COUNTIFS(Schedule!$C$2:$C$200,"PP3",Schedule!$L$2:$L$200,"PTO"),0))&amp;"/6"&amp;IF(MAX(COUNTIFS(Schedule!$C$2:$C$200,"PP3",Schedule!$L$2:$L$200,"PTO"),0)&gt;0,"  "&amp;MAX(COUNTIFS(Schedule!$C$2:$C$200,"PP3",Schedule!$L$2:$L$200,"PTO"),0)&amp;" PTO","")</f>
        <v>6/6</v>
      </c>
      <c r="D17" s="30" t="str">
        <f>(U10+0+MAX(COUNTIFS(Schedule!$C$2:$C$200,"PP3",Schedule!$M$2:$M$200,"PTO"),0))&amp;"/6"&amp;IF(MAX(COUNTIFS(Schedule!$C$2:$C$200,"PP3",Schedule!$M$2:$M$200,"PTO"),0)&gt;0,"  "&amp;MAX(COUNTIFS(Schedule!$C$2:$C$200,"PP3",Schedule!$M$2:$M$200,"PTO"),0)&amp;" PTO","")</f>
        <v>6/6</v>
      </c>
      <c r="E17" s="30" t="str">
        <f>(V10+0+MAX(COUNTIFS(Schedule!$C$2:$C$200,"PP3",Schedule!$N$2:$N$200,"PTO"),0))&amp;"/6"&amp;IF(MAX(COUNTIFS(Schedule!$C$2:$C$200,"PP3",Schedule!$N$2:$N$200,"PTO"),0)&gt;0,"  "&amp;MAX(COUNTIFS(Schedule!$C$2:$C$200,"PP3",Schedule!$N$2:$N$200,"PTO"),0)&amp;" PTO","")</f>
        <v>6/6</v>
      </c>
      <c r="F17" s="30" t="str">
        <f>(W10+0+MAX(COUNTIFS(Schedule!$C$2:$C$200,"PP3",Schedule!$O$2:$O$200,"PTO"),0))&amp;"/6"&amp;IF(MAX(COUNTIFS(Schedule!$C$2:$C$200,"PP3",Schedule!$O$2:$O$200,"PTO"),0)&gt;0,"  "&amp;MAX(COUNTIFS(Schedule!$C$2:$C$200,"PP3",Schedule!$O$2:$O$200,"PTO"),0)&amp;" PTO","")</f>
        <v>6/6</v>
      </c>
      <c r="G17" s="30" t="str">
        <f>(X10+0+MAX(COUNTIFS(Schedule!$C$2:$C$200,"PP3",Schedule!$P$2:$P$200,"PTO"),2))&amp;"/6"&amp;IF(MAX(COUNTIFS(Schedule!$C$2:$C$200,"PP3",Schedule!$P$2:$P$200,"PTO"),2)&gt;0,"  "&amp;MAX(COUNTIFS(Schedule!$C$2:$C$200,"PP3",Schedule!$P$2:$P$200,"PTO"),2)&amp;" PTO","")</f>
        <v>5/6  2 PTO</v>
      </c>
      <c r="H17" s="30" t="str">
        <f>(Y10+0+MAX(COUNTIFS(Schedule!$C$2:$C$200,"PP3",Schedule!$Q$2:$Q$200,"PTO"),0))&amp;"/6"&amp;IF(MAX(COUNTIFS(Schedule!$C$2:$C$200,"PP3",Schedule!$Q$2:$Q$200,"PTO"),0)&gt;0,"  "&amp;MAX(COUNTIFS(Schedule!$C$2:$C$200,"PP3",Schedule!$Q$2:$Q$200,"PTO"),0)&amp;" PTO","")</f>
        <v>6/6</v>
      </c>
      <c r="I17" s="30" t="str">
        <f>(Z10+0+MAX(COUNTIFS(Schedule!$C$2:$C$200,"PP3",Schedule!$R$2:$R$200,"PTO"),0))&amp;"/6"&amp;IF(MAX(COUNTIFS(Schedule!$C$2:$C$200,"PP3",Schedule!$R$2:$R$200,"PTO"),0)&gt;0,"  "&amp;MAX(COUNTIFS(Schedule!$C$2:$C$200,"PP3",Schedule!$R$2:$R$200,"PTO"),0)&amp;" PTO","")</f>
        <v>6/6</v>
      </c>
      <c r="J17" s="30" t="str">
        <f>(AA10+0+MAX(COUNTIFS(Schedule!$C$2:$C$200,"PP3",Schedule!$S$2:$S$200,"PTO"),6))&amp;"/6"&amp;IF(MAX(COUNTIFS(Schedule!$C$2:$C$200,"PP3",Schedule!$S$2:$S$200,"PTO"),6)&gt;0,"  "&amp;MAX(COUNTIFS(Schedule!$C$2:$C$200,"PP3",Schedule!$S$2:$S$200,"PTO"),6)&amp;" PTO","")</f>
        <v>6/6  6 PTO</v>
      </c>
      <c r="K17" s="30" t="str">
        <f>(AB10+0+MAX(COUNTIFS(Schedule!$C$2:$C$200,"PP3",Schedule!$T$2:$T$200,"PTO"),1))&amp;"/6"&amp;IF(MAX(COUNTIFS(Schedule!$C$2:$C$200,"PP3",Schedule!$T$2:$T$200,"PTO"),1)&gt;0,"  "&amp;MAX(COUNTIFS(Schedule!$C$2:$C$200,"PP3",Schedule!$T$2:$T$200,"PTO"),1)&amp;" PTO","")</f>
        <v>5/6  1 PTO</v>
      </c>
      <c r="L17" s="30" t="str">
        <f>(AC10+0+MAX(COUNTIFS(Schedule!$C$2:$C$200,"PP3",Schedule!$U$2:$U$200,"PTO"),0))&amp;"/0"&amp;IF(MAX(COUNTIFS(Schedule!$C$2:$C$200,"PP3",Schedule!$U$2:$U$200,"PTO"),0)&gt;0,"  "&amp;MAX(COUNTIFS(Schedule!$C$2:$C$200,"PP3",Schedule!$U$2:$U$200,"PTO"),0)&amp;" PTO","")</f>
        <v>0/0</v>
      </c>
      <c r="M17" s="30" t="str">
        <f>(AD10+0+MAX(COUNTIFS(Schedule!$C$2:$C$200,"PP3",Schedule!$V$2:$V$200,"PTO"),0))&amp;"/0"&amp;IF(MAX(COUNTIFS(Schedule!$C$2:$C$200,"PP3",Schedule!$V$2:$V$200,"PTO"),0)&gt;0,"  "&amp;MAX(COUNTIFS(Schedule!$C$2:$C$200,"PP3",Schedule!$V$2:$V$200,"PTO"),0)&amp;" PTO","")</f>
        <v>0/0</v>
      </c>
      <c r="N17" s="30" t="str">
        <f>(AE10+0+MAX(COUNTIFS(Schedule!$C$2:$C$200,"PP3",Schedule!$W$2:$W$200,"PTO"),0))&amp;"/0"&amp;IF(MAX(COUNTIFS(Schedule!$C$2:$C$200,"PP3",Schedule!$W$2:$W$200,"PTO"),0)&gt;0,"  "&amp;MAX(COUNTIFS(Schedule!$C$2:$C$200,"PP3",Schedule!$W$2:$W$200,"PTO"),0)&amp;" PTO","")</f>
        <v>0/0</v>
      </c>
      <c r="O17" s="30" t="str">
        <f>(AF10+0+MAX(COUNTIFS(Schedule!$C$2:$C$200,"PP3",Schedule!$X$2:$X$200,"PTO"),0))&amp;"/0"&amp;IF(MAX(COUNTIFS(Schedule!$C$2:$C$200,"PP3",Schedule!$X$2:$X$200,"PTO"),0)&gt;0,"  "&amp;MAX(COUNTIFS(Schedule!$C$2:$C$200,"PP3",Schedule!$X$2:$X$200,"PTO"),0)&amp;" PTO","")</f>
        <v>0/0</v>
      </c>
      <c r="P17" s="30" t="str">
        <f>(AG10+0+MAX(COUNTIFS(Schedule!$C$2:$C$200,"PP3",Schedule!$Y$2:$Y$200,"PTO"),0))&amp;"/0"&amp;IF(MAX(COUNTIFS(Schedule!$C$2:$C$200,"PP3",Schedule!$Y$2:$Y$200,"PTO"),0)&gt;0,"  "&amp;MAX(COUNTIFS(Schedule!$C$2:$C$200,"PP3",Schedule!$Y$2:$Y$200,"PTO"),0)&amp;" PTO","")</f>
        <v>0/0</v>
      </c>
      <c r="Q17" s="30" t="str">
        <f>(AH10+0+MAX(COUNTIFS(Schedule!$C$2:$C$200,"PP3",Schedule!$Z$2:$Z$200,"PTO"),0))&amp;"/0"&amp;IF(MAX(COUNTIFS(Schedule!$C$2:$C$200,"PP3",Schedule!$Z$2:$Z$200,"PTO"),0)&gt;0,"  "&amp;MAX(COUNTIFS(Schedule!$C$2:$C$200,"PP3",Schedule!$Z$2:$Z$200,"PTO"),0)&amp;" PTO","")</f>
        <v>0/0</v>
      </c>
      <c r="R17" s="30">
        <f>COUNTBLANK(Schedule!$D$34:$G$47)</f>
        <v>7</v>
      </c>
    </row>
    <row r="18" spans="1:18" ht="16" customHeight="1" x14ac:dyDescent="0.35">
      <c r="A18" s="29" t="s">
        <v>70</v>
      </c>
      <c r="B18" s="30" t="str">
        <f>(S11+0+MAX(COUNTIFS(Schedule!$C$2:$C$200,"PP4",Schedule!$K$2:$K$200,"PTO"),1))&amp;"/6"&amp;IF(MAX(COUNTIFS(Schedule!$C$2:$C$200,"PP4",Schedule!$K$2:$K$200,"PTO"),1)&gt;0,"  "&amp;MAX(COUNTIFS(Schedule!$C$2:$C$200,"PP4",Schedule!$K$2:$K$200,"PTO"),1)&amp;" PTO","")</f>
        <v>6/6  1 PTO</v>
      </c>
      <c r="C18" s="30" t="str">
        <f>(T11+0+MAX(COUNTIFS(Schedule!$C$2:$C$200,"PP4",Schedule!$L$2:$L$200,"PTO"),0))&amp;"/6"&amp;IF(MAX(COUNTIFS(Schedule!$C$2:$C$200,"PP4",Schedule!$L$2:$L$200,"PTO"),0)&gt;0,"  "&amp;MAX(COUNTIFS(Schedule!$C$2:$C$200,"PP4",Schedule!$L$2:$L$200,"PTO"),0)&amp;" PTO","")</f>
        <v>6/6</v>
      </c>
      <c r="D18" s="30" t="str">
        <f>(U11+0+MAX(COUNTIFS(Schedule!$C$2:$C$200,"PP4",Schedule!$M$2:$M$200,"PTO"),0))&amp;"/6"&amp;IF(MAX(COUNTIFS(Schedule!$C$2:$C$200,"PP4",Schedule!$M$2:$M$200,"PTO"),0)&gt;0,"  "&amp;MAX(COUNTIFS(Schedule!$C$2:$C$200,"PP4",Schedule!$M$2:$M$200,"PTO"),0)&amp;" PTO","")</f>
        <v>6/6</v>
      </c>
      <c r="E18" s="30" t="str">
        <f>(V11+0+MAX(COUNTIFS(Schedule!$C$2:$C$200,"PP4",Schedule!$N$2:$N$200,"PTO"),0))&amp;"/6"&amp;IF(MAX(COUNTIFS(Schedule!$C$2:$C$200,"PP4",Schedule!$N$2:$N$200,"PTO"),0)&gt;0,"  "&amp;MAX(COUNTIFS(Schedule!$C$2:$C$200,"PP4",Schedule!$N$2:$N$200,"PTO"),0)&amp;" PTO","")</f>
        <v>6/6</v>
      </c>
      <c r="F18" s="30" t="str">
        <f>(W11+0+MAX(COUNTIFS(Schedule!$C$2:$C$200,"PP4",Schedule!$O$2:$O$200,"PTO"),0))&amp;"/6"&amp;IF(MAX(COUNTIFS(Schedule!$C$2:$C$200,"PP4",Schedule!$O$2:$O$200,"PTO"),0)&gt;0,"  "&amp;MAX(COUNTIFS(Schedule!$C$2:$C$200,"PP4",Schedule!$O$2:$O$200,"PTO"),0)&amp;" PTO","")</f>
        <v>6/6</v>
      </c>
      <c r="G18" s="30" t="str">
        <f>(X11+0+MAX(COUNTIFS(Schedule!$C$2:$C$200,"PP4",Schedule!$P$2:$P$200,"PTO"),0))&amp;"/6"&amp;IF(MAX(COUNTIFS(Schedule!$C$2:$C$200,"PP4",Schedule!$P$2:$P$200,"PTO"),0)&gt;0,"  "&amp;MAX(COUNTIFS(Schedule!$C$2:$C$200,"PP4",Schedule!$P$2:$P$200,"PTO"),0)&amp;" PTO","")</f>
        <v>6/6</v>
      </c>
      <c r="H18" s="30" t="str">
        <f>(Y11+0+MAX(COUNTIFS(Schedule!$C$2:$C$200,"PP4",Schedule!$Q$2:$Q$200,"PTO"),0))&amp;"/6"&amp;IF(MAX(COUNTIFS(Schedule!$C$2:$C$200,"PP4",Schedule!$Q$2:$Q$200,"PTO"),0)&gt;0,"  "&amp;MAX(COUNTIFS(Schedule!$C$2:$C$200,"PP4",Schedule!$Q$2:$Q$200,"PTO"),0)&amp;" PTO","")</f>
        <v>6/6</v>
      </c>
      <c r="I18" s="30" t="str">
        <f>(Z11+0+MAX(COUNTIFS(Schedule!$C$2:$C$200,"PP4",Schedule!$R$2:$R$200,"PTO"),0))&amp;"/6"&amp;IF(MAX(COUNTIFS(Schedule!$C$2:$C$200,"PP4",Schedule!$R$2:$R$200,"PTO"),0)&gt;0,"  "&amp;MAX(COUNTIFS(Schedule!$C$2:$C$200,"PP4",Schedule!$R$2:$R$200,"PTO"),0)&amp;" PTO","")</f>
        <v>6/6</v>
      </c>
      <c r="J18" s="30" t="str">
        <f>(AA11+0+MAX(COUNTIFS(Schedule!$C$2:$C$200,"PP4",Schedule!$S$2:$S$200,"PTO"),6))&amp;"/6"&amp;IF(MAX(COUNTIFS(Schedule!$C$2:$C$200,"PP4",Schedule!$S$2:$S$200,"PTO"),6)&gt;0,"  "&amp;MAX(COUNTIFS(Schedule!$C$2:$C$200,"PP4",Schedule!$S$2:$S$200,"PTO"),6)&amp;" PTO","")</f>
        <v>6/6  6 PTO</v>
      </c>
      <c r="K18" s="30" t="str">
        <f>(AB11+0+MAX(COUNTIFS(Schedule!$C$2:$C$200,"PP4",Schedule!$T$2:$T$200,"PTO"),0))&amp;"/6"&amp;IF(MAX(COUNTIFS(Schedule!$C$2:$C$200,"PP4",Schedule!$T$2:$T$200,"PTO"),0)&gt;0,"  "&amp;MAX(COUNTIFS(Schedule!$C$2:$C$200,"PP4",Schedule!$T$2:$T$200,"PTO"),0)&amp;" PTO","")</f>
        <v>6/6</v>
      </c>
      <c r="L18" s="30" t="str">
        <f>(AC11+0+MAX(COUNTIFS(Schedule!$C$2:$C$200,"PP4",Schedule!$U$2:$U$200,"PTO"),0))&amp;"/0"&amp;IF(MAX(COUNTIFS(Schedule!$C$2:$C$200,"PP4",Schedule!$U$2:$U$200,"PTO"),0)&gt;0,"  "&amp;MAX(COUNTIFS(Schedule!$C$2:$C$200,"PP4",Schedule!$U$2:$U$200,"PTO"),0)&amp;" PTO","")</f>
        <v>0/0</v>
      </c>
      <c r="M18" s="30" t="str">
        <f>(AD11+0+MAX(COUNTIFS(Schedule!$C$2:$C$200,"PP4",Schedule!$V$2:$V$200,"PTO"),0))&amp;"/0"&amp;IF(MAX(COUNTIFS(Schedule!$C$2:$C$200,"PP4",Schedule!$V$2:$V$200,"PTO"),0)&gt;0,"  "&amp;MAX(COUNTIFS(Schedule!$C$2:$C$200,"PP4",Schedule!$V$2:$V$200,"PTO"),0)&amp;" PTO","")</f>
        <v>0/0</v>
      </c>
      <c r="N18" s="30" t="str">
        <f>(AE11+0+MAX(COUNTIFS(Schedule!$C$2:$C$200,"PP4",Schedule!$W$2:$W$200,"PTO"),0))&amp;"/0"&amp;IF(MAX(COUNTIFS(Schedule!$C$2:$C$200,"PP4",Schedule!$W$2:$W$200,"PTO"),0)&gt;0,"  "&amp;MAX(COUNTIFS(Schedule!$C$2:$C$200,"PP4",Schedule!$W$2:$W$200,"PTO"),0)&amp;" PTO","")</f>
        <v>0/0</v>
      </c>
      <c r="O18" s="30" t="str">
        <f>(AF11+0+MAX(COUNTIFS(Schedule!$C$2:$C$200,"PP4",Schedule!$X$2:$X$200,"PTO"),0))&amp;"/0"&amp;IF(MAX(COUNTIFS(Schedule!$C$2:$C$200,"PP4",Schedule!$X$2:$X$200,"PTO"),0)&gt;0,"  "&amp;MAX(COUNTIFS(Schedule!$C$2:$C$200,"PP4",Schedule!$X$2:$X$200,"PTO"),0)&amp;" PTO","")</f>
        <v>0/0</v>
      </c>
      <c r="P18" s="30" t="str">
        <f>(AG11+0+MAX(COUNTIFS(Schedule!$C$2:$C$200,"PP4",Schedule!$Y$2:$Y$200,"PTO"),0))&amp;"/0"&amp;IF(MAX(COUNTIFS(Schedule!$C$2:$C$200,"PP4",Schedule!$Y$2:$Y$200,"PTO"),0)&gt;0,"  "&amp;MAX(COUNTIFS(Schedule!$C$2:$C$200,"PP4",Schedule!$Y$2:$Y$200,"PTO"),0)&amp;" PTO","")</f>
        <v>0/0</v>
      </c>
      <c r="Q18" s="30" t="str">
        <f>(AH11+0+MAX(COUNTIFS(Schedule!$C$2:$C$200,"PP4",Schedule!$Z$2:$Z$200,"PTO"),0))&amp;"/0"&amp;IF(MAX(COUNTIFS(Schedule!$C$2:$C$200,"PP4",Schedule!$Z$2:$Z$200,"PTO"),0)&gt;0,"  "&amp;MAX(COUNTIFS(Schedule!$C$2:$C$200,"PP4",Schedule!$Z$2:$Z$200,"PTO"),0)&amp;" PTO","")</f>
        <v>0/0</v>
      </c>
      <c r="R18" s="30">
        <f>COUNTBLANK(Schedule!$D$49:$G$62)</f>
        <v>3</v>
      </c>
    </row>
    <row r="19" spans="1:18" ht="16" customHeight="1" x14ac:dyDescent="0.35">
      <c r="A19" s="29" t="s">
        <v>71</v>
      </c>
      <c r="B19" s="30" t="str">
        <f>(S12+0+MAX(COUNTIFS(Schedule!$C$2:$C$200,"PP5",Schedule!$K$2:$K$200,"PTO"),0))&amp;"/6"&amp;IF(MAX(COUNTIFS(Schedule!$C$2:$C$200,"PP5",Schedule!$K$2:$K$200,"PTO"),0)&gt;0,"  "&amp;MAX(COUNTIFS(Schedule!$C$2:$C$200,"PP5",Schedule!$K$2:$K$200,"PTO"),0)&amp;" PTO","")</f>
        <v>6/6</v>
      </c>
      <c r="C19" s="30" t="str">
        <f>(T12+0+MAX(COUNTIFS(Schedule!$C$2:$C$200,"PP5",Schedule!$L$2:$L$200,"PTO"),1))&amp;"/6"&amp;IF(MAX(COUNTIFS(Schedule!$C$2:$C$200,"PP5",Schedule!$L$2:$L$200,"PTO"),1)&gt;0,"  "&amp;MAX(COUNTIFS(Schedule!$C$2:$C$200,"PP5",Schedule!$L$2:$L$200,"PTO"),1)&amp;" PTO","")</f>
        <v>6/6  1 PTO</v>
      </c>
      <c r="D19" s="30" t="str">
        <f>(U12+0+MAX(COUNTIFS(Schedule!$C$2:$C$200,"PP5",Schedule!$M$2:$M$200,"PTO"),0))&amp;"/6"&amp;IF(MAX(COUNTIFS(Schedule!$C$2:$C$200,"PP5",Schedule!$M$2:$M$200,"PTO"),0)&gt;0,"  "&amp;MAX(COUNTIFS(Schedule!$C$2:$C$200,"PP5",Schedule!$M$2:$M$200,"PTO"),0)&amp;" PTO","")</f>
        <v>6/6</v>
      </c>
      <c r="E19" s="30" t="str">
        <f>(V12+0+MAX(COUNTIFS(Schedule!$C$2:$C$200,"PP5",Schedule!$N$2:$N$200,"PTO"),2))&amp;"/6"&amp;IF(MAX(COUNTIFS(Schedule!$C$2:$C$200,"PP5",Schedule!$N$2:$N$200,"PTO"),2)&gt;0,"  "&amp;MAX(COUNTIFS(Schedule!$C$2:$C$200,"PP5",Schedule!$N$2:$N$200,"PTO"),2)&amp;" PTO","")</f>
        <v>6/6  2 PTO</v>
      </c>
      <c r="F19" s="30" t="str">
        <f>(W12+0+MAX(COUNTIFS(Schedule!$C$2:$C$200,"PP5",Schedule!$O$2:$O$200,"PTO"),2))&amp;"/6"&amp;IF(MAX(COUNTIFS(Schedule!$C$2:$C$200,"PP5",Schedule!$O$2:$O$200,"PTO"),2)&gt;0,"  "&amp;MAX(COUNTIFS(Schedule!$C$2:$C$200,"PP5",Schedule!$O$2:$O$200,"PTO"),2)&amp;" PTO","")</f>
        <v>6/6  2 PTO</v>
      </c>
      <c r="G19" s="30" t="str">
        <f>(X12+0+MAX(COUNTIFS(Schedule!$C$2:$C$200,"PP5",Schedule!$P$2:$P$200,"PTO"),2))&amp;"/6"&amp;IF(MAX(COUNTIFS(Schedule!$C$2:$C$200,"PP5",Schedule!$P$2:$P$200,"PTO"),2)&gt;0,"  "&amp;MAX(COUNTIFS(Schedule!$C$2:$C$200,"PP5",Schedule!$P$2:$P$200,"PTO"),2)&amp;" PTO","")</f>
        <v>6/6  2 PTO</v>
      </c>
      <c r="H19" s="30" t="str">
        <f>(Y12+0+MAX(COUNTIFS(Schedule!$C$2:$C$200,"PP5",Schedule!$Q$2:$Q$200,"PTO"),0))&amp;"/6"&amp;IF(MAX(COUNTIFS(Schedule!$C$2:$C$200,"PP5",Schedule!$Q$2:$Q$200,"PTO"),0)&gt;0,"  "&amp;MAX(COUNTIFS(Schedule!$C$2:$C$200,"PP5",Schedule!$Q$2:$Q$200,"PTO"),0)&amp;" PTO","")</f>
        <v>6/6</v>
      </c>
      <c r="I19" s="30" t="str">
        <f>(Z12+0+MAX(COUNTIFS(Schedule!$C$2:$C$200,"PP5",Schedule!$R$2:$R$200,"PTO"),1))&amp;"/6"&amp;IF(MAX(COUNTIFS(Schedule!$C$2:$C$200,"PP5",Schedule!$R$2:$R$200,"PTO"),1)&gt;0,"  "&amp;MAX(COUNTIFS(Schedule!$C$2:$C$200,"PP5",Schedule!$R$2:$R$200,"PTO"),1)&amp;" PTO","")</f>
        <v>6/6  1 PTO</v>
      </c>
      <c r="J19" s="30" t="str">
        <f>(AA12+0+MAX(COUNTIFS(Schedule!$C$2:$C$200,"PP5",Schedule!$S$2:$S$200,"PTO"),1))&amp;"/6"&amp;IF(MAX(COUNTIFS(Schedule!$C$2:$C$200,"PP5",Schedule!$S$2:$S$200,"PTO"),1)&gt;0,"  "&amp;MAX(COUNTIFS(Schedule!$C$2:$C$200,"PP5",Schedule!$S$2:$S$200,"PTO"),1)&amp;" PTO","")</f>
        <v>6/6  1 PTO</v>
      </c>
      <c r="K19" s="30" t="str">
        <f>(AB12+0+MAX(COUNTIFS(Schedule!$C$2:$C$200,"PP5",Schedule!$T$2:$T$200,"PTO"),0))&amp;"/6"&amp;IF(MAX(COUNTIFS(Schedule!$C$2:$C$200,"PP5",Schedule!$T$2:$T$200,"PTO"),0)&gt;0,"  "&amp;MAX(COUNTIFS(Schedule!$C$2:$C$200,"PP5",Schedule!$T$2:$T$200,"PTO"),0)&amp;" PTO","")</f>
        <v>6/6</v>
      </c>
      <c r="L19" s="30" t="str">
        <f>(AC12+0+MAX(COUNTIFS(Schedule!$C$2:$C$200,"PP5",Schedule!$U$2:$U$200,"PTO"),0))&amp;"/0"&amp;IF(MAX(COUNTIFS(Schedule!$C$2:$C$200,"PP5",Schedule!$U$2:$U$200,"PTO"),0)&gt;0,"  "&amp;MAX(COUNTIFS(Schedule!$C$2:$C$200,"PP5",Schedule!$U$2:$U$200,"PTO"),0)&amp;" PTO","")</f>
        <v>0/0</v>
      </c>
      <c r="M19" s="30" t="str">
        <f>(AD12+0+MAX(COUNTIFS(Schedule!$C$2:$C$200,"PP5",Schedule!$V$2:$V$200,"PTO"),0))&amp;"/0"&amp;IF(MAX(COUNTIFS(Schedule!$C$2:$C$200,"PP5",Schedule!$V$2:$V$200,"PTO"),0)&gt;0,"  "&amp;MAX(COUNTIFS(Schedule!$C$2:$C$200,"PP5",Schedule!$V$2:$V$200,"PTO"),0)&amp;" PTO","")</f>
        <v>0/0</v>
      </c>
      <c r="N19" s="30" t="str">
        <f>(AE12+0+MAX(COUNTIFS(Schedule!$C$2:$C$200,"PP5",Schedule!$W$2:$W$200,"PTO"),0))&amp;"/0"&amp;IF(MAX(COUNTIFS(Schedule!$C$2:$C$200,"PP5",Schedule!$W$2:$W$200,"PTO"),0)&gt;0,"  "&amp;MAX(COUNTIFS(Schedule!$C$2:$C$200,"PP5",Schedule!$W$2:$W$200,"PTO"),0)&amp;" PTO","")</f>
        <v>0/0</v>
      </c>
      <c r="O19" s="30" t="str">
        <f>(AF12+0+MAX(COUNTIFS(Schedule!$C$2:$C$200,"PP5",Schedule!$X$2:$X$200,"PTO"),0))&amp;"/0"&amp;IF(MAX(COUNTIFS(Schedule!$C$2:$C$200,"PP5",Schedule!$X$2:$X$200,"PTO"),0)&gt;0,"  "&amp;MAX(COUNTIFS(Schedule!$C$2:$C$200,"PP5",Schedule!$X$2:$X$200,"PTO"),0)&amp;" PTO","")</f>
        <v>0/0</v>
      </c>
      <c r="P19" s="30" t="str">
        <f>(AG12+0+MAX(COUNTIFS(Schedule!$C$2:$C$200,"PP5",Schedule!$Y$2:$Y$200,"PTO"),0))&amp;"/0"&amp;IF(MAX(COUNTIFS(Schedule!$C$2:$C$200,"PP5",Schedule!$Y$2:$Y$200,"PTO"),0)&gt;0,"  "&amp;MAX(COUNTIFS(Schedule!$C$2:$C$200,"PP5",Schedule!$Y$2:$Y$200,"PTO"),0)&amp;" PTO","")</f>
        <v>0/0</v>
      </c>
      <c r="Q19" s="30" t="str">
        <f>(AH12+0+MAX(COUNTIFS(Schedule!$C$2:$C$200,"PP5",Schedule!$Z$2:$Z$200,"PTO"),0))&amp;"/0"&amp;IF(MAX(COUNTIFS(Schedule!$C$2:$C$200,"PP5",Schedule!$Z$2:$Z$200,"PTO"),0)&gt;0,"  "&amp;MAX(COUNTIFS(Schedule!$C$2:$C$200,"PP5",Schedule!$Z$2:$Z$200,"PTO"),0)&amp;" PTO","")</f>
        <v>0/0</v>
      </c>
      <c r="R19" s="30">
        <f>COUNTBLANK(Schedule!$D$64:$G$77)</f>
        <v>5</v>
      </c>
    </row>
    <row r="20" spans="1:18" ht="16" customHeight="1" x14ac:dyDescent="0.35">
      <c r="A20" s="29" t="s">
        <v>72</v>
      </c>
      <c r="B20" s="30" t="str">
        <f>(S13+0+MAX(COUNTIFS(Schedule!$C$2:$C$200,"PP6",Schedule!$K$2:$K$200,"PTO"),0))&amp;"/6"&amp;IF(MAX(COUNTIFS(Schedule!$C$2:$C$200,"PP6",Schedule!$K$2:$K$200,"PTO"),0)&gt;0,"  "&amp;MAX(COUNTIFS(Schedule!$C$2:$C$200,"PP6",Schedule!$K$2:$K$200,"PTO"),0)&amp;" PTO","")</f>
        <v>6/6</v>
      </c>
      <c r="C20" s="30" t="str">
        <f>(T13+0+MAX(COUNTIFS(Schedule!$C$2:$C$200,"PP6",Schedule!$L$2:$L$200,"PTO"),0))&amp;"/6"&amp;IF(MAX(COUNTIFS(Schedule!$C$2:$C$200,"PP6",Schedule!$L$2:$L$200,"PTO"),0)&gt;0,"  "&amp;MAX(COUNTIFS(Schedule!$C$2:$C$200,"PP6",Schedule!$L$2:$L$200,"PTO"),0)&amp;" PTO","")</f>
        <v>6/6</v>
      </c>
      <c r="D20" s="30" t="str">
        <f>(U13+0+MAX(COUNTIFS(Schedule!$C$2:$C$200,"PP6",Schedule!$M$2:$M$200,"PTO"),0))&amp;"/6"&amp;IF(MAX(COUNTIFS(Schedule!$C$2:$C$200,"PP6",Schedule!$M$2:$M$200,"PTO"),0)&gt;0,"  "&amp;MAX(COUNTIFS(Schedule!$C$2:$C$200,"PP6",Schedule!$M$2:$M$200,"PTO"),0)&amp;" PTO","")</f>
        <v>4/6</v>
      </c>
      <c r="E20" s="30" t="str">
        <f>(V13+0+MAX(COUNTIFS(Schedule!$C$2:$C$200,"PP6",Schedule!$N$2:$N$200,"PTO"),0))&amp;"/6"&amp;IF(MAX(COUNTIFS(Schedule!$C$2:$C$200,"PP6",Schedule!$N$2:$N$200,"PTO"),0)&gt;0,"  "&amp;MAX(COUNTIFS(Schedule!$C$2:$C$200,"PP6",Schedule!$N$2:$N$200,"PTO"),0)&amp;" PTO","")</f>
        <v>6/6</v>
      </c>
      <c r="F20" s="30" t="str">
        <f>(W13+0+MAX(COUNTIFS(Schedule!$C$2:$C$200,"PP6",Schedule!$O$2:$O$200,"PTO"),0))&amp;"/6"&amp;IF(MAX(COUNTIFS(Schedule!$C$2:$C$200,"PP6",Schedule!$O$2:$O$200,"PTO"),0)&gt;0,"  "&amp;MAX(COUNTIFS(Schedule!$C$2:$C$200,"PP6",Schedule!$O$2:$O$200,"PTO"),0)&amp;" PTO","")</f>
        <v>5/6</v>
      </c>
      <c r="G20" s="30" t="str">
        <f>(X13+0+MAX(COUNTIFS(Schedule!$C$2:$C$200,"PP6",Schedule!$P$2:$P$200,"PTO"),0))&amp;"/6"&amp;IF(MAX(COUNTIFS(Schedule!$C$2:$C$200,"PP6",Schedule!$P$2:$P$200,"PTO"),0)&gt;0,"  "&amp;MAX(COUNTIFS(Schedule!$C$2:$C$200,"PP6",Schedule!$P$2:$P$200,"PTO"),0)&amp;" PTO","")</f>
        <v>6/6</v>
      </c>
      <c r="H20" s="30" t="str">
        <f>(Y13+0+MAX(COUNTIFS(Schedule!$C$2:$C$200,"PP6",Schedule!$Q$2:$Q$200,"PTO"),0))&amp;"/6"&amp;IF(MAX(COUNTIFS(Schedule!$C$2:$C$200,"PP6",Schedule!$Q$2:$Q$200,"PTO"),0)&gt;0,"  "&amp;MAX(COUNTIFS(Schedule!$C$2:$C$200,"PP6",Schedule!$Q$2:$Q$200,"PTO"),0)&amp;" PTO","")</f>
        <v>6/6</v>
      </c>
      <c r="I20" s="30" t="str">
        <f>(Z13+0+MAX(COUNTIFS(Schedule!$C$2:$C$200,"PP6",Schedule!$R$2:$R$200,"PTO"),0))&amp;"/6"&amp;IF(MAX(COUNTIFS(Schedule!$C$2:$C$200,"PP6",Schedule!$R$2:$R$200,"PTO"),0)&gt;0,"  "&amp;MAX(COUNTIFS(Schedule!$C$2:$C$200,"PP6",Schedule!$R$2:$R$200,"PTO"),0)&amp;" PTO","")</f>
        <v>6/6</v>
      </c>
      <c r="J20" s="30" t="str">
        <f>(AA13+0+MAX(COUNTIFS(Schedule!$C$2:$C$200,"PP6",Schedule!$S$2:$S$200,"PTO"),0))&amp;"/6"&amp;IF(MAX(COUNTIFS(Schedule!$C$2:$C$200,"PP6",Schedule!$S$2:$S$200,"PTO"),0)&gt;0,"  "&amp;MAX(COUNTIFS(Schedule!$C$2:$C$200,"PP6",Schedule!$S$2:$S$200,"PTO"),0)&amp;" PTO","")</f>
        <v>6/6</v>
      </c>
      <c r="K20" s="30" t="str">
        <f>(AB13+0+MAX(COUNTIFS(Schedule!$C$2:$C$200,"PP6",Schedule!$T$2:$T$200,"PTO"),0))&amp;"/6"&amp;IF(MAX(COUNTIFS(Schedule!$C$2:$C$200,"PP6",Schedule!$T$2:$T$200,"PTO"),0)&gt;0,"  "&amp;MAX(COUNTIFS(Schedule!$C$2:$C$200,"PP6",Schedule!$T$2:$T$200,"PTO"),0)&amp;" PTO","")</f>
        <v>5/6</v>
      </c>
      <c r="L20" s="30" t="str">
        <f>(AC13+0+MAX(COUNTIFS(Schedule!$C$2:$C$200,"PP6",Schedule!$U$2:$U$200,"PTO"),0))&amp;"/0"&amp;IF(MAX(COUNTIFS(Schedule!$C$2:$C$200,"PP6",Schedule!$U$2:$U$200,"PTO"),0)&gt;0,"  "&amp;MAX(COUNTIFS(Schedule!$C$2:$C$200,"PP6",Schedule!$U$2:$U$200,"PTO"),0)&amp;" PTO","")</f>
        <v>0/0</v>
      </c>
      <c r="M20" s="30" t="str">
        <f>(AD13+0+MAX(COUNTIFS(Schedule!$C$2:$C$200,"PP6",Schedule!$V$2:$V$200,"PTO"),0))&amp;"/0"&amp;IF(MAX(COUNTIFS(Schedule!$C$2:$C$200,"PP6",Schedule!$V$2:$V$200,"PTO"),0)&gt;0,"  "&amp;MAX(COUNTIFS(Schedule!$C$2:$C$200,"PP6",Schedule!$V$2:$V$200,"PTO"),0)&amp;" PTO","")</f>
        <v>0/0</v>
      </c>
      <c r="N20" s="30" t="str">
        <f>(AE13+0+MAX(COUNTIFS(Schedule!$C$2:$C$200,"PP6",Schedule!$W$2:$W$200,"PTO"),0))&amp;"/0"&amp;IF(MAX(COUNTIFS(Schedule!$C$2:$C$200,"PP6",Schedule!$W$2:$W$200,"PTO"),0)&gt;0,"  "&amp;MAX(COUNTIFS(Schedule!$C$2:$C$200,"PP6",Schedule!$W$2:$W$200,"PTO"),0)&amp;" PTO","")</f>
        <v>0/0</v>
      </c>
      <c r="O20" s="30" t="str">
        <f>(AF13+0+MAX(COUNTIFS(Schedule!$C$2:$C$200,"PP6",Schedule!$X$2:$X$200,"PTO"),0))&amp;"/0"&amp;IF(MAX(COUNTIFS(Schedule!$C$2:$C$200,"PP6",Schedule!$X$2:$X$200,"PTO"),0)&gt;0,"  "&amp;MAX(COUNTIFS(Schedule!$C$2:$C$200,"PP6",Schedule!$X$2:$X$200,"PTO"),0)&amp;" PTO","")</f>
        <v>0/0</v>
      </c>
      <c r="P20" s="30" t="str">
        <f>(AG13+0+MAX(COUNTIFS(Schedule!$C$2:$C$200,"PP6",Schedule!$Y$2:$Y$200,"PTO"),0))&amp;"/0"&amp;IF(MAX(COUNTIFS(Schedule!$C$2:$C$200,"PP6",Schedule!$Y$2:$Y$200,"PTO"),0)&gt;0,"  "&amp;MAX(COUNTIFS(Schedule!$C$2:$C$200,"PP6",Schedule!$Y$2:$Y$200,"PTO"),0)&amp;" PTO","")</f>
        <v>0/0</v>
      </c>
      <c r="Q20" s="30" t="str">
        <f>(AH13+0+MAX(COUNTIFS(Schedule!$C$2:$C$200,"PP6",Schedule!$Z$2:$Z$200,"PTO"),0))&amp;"/0"&amp;IF(MAX(COUNTIFS(Schedule!$C$2:$C$200,"PP6",Schedule!$Z$2:$Z$200,"PTO"),0)&gt;0,"  "&amp;MAX(COUNTIFS(Schedule!$C$2:$C$200,"PP6",Schedule!$Z$2:$Z$200,"PTO"),0)&amp;" PTO","")</f>
        <v>0/0</v>
      </c>
      <c r="R20" s="30">
        <f>COUNTBLANK(Schedule!$D$79:$G$92)</f>
        <v>0</v>
      </c>
    </row>
    <row r="21" spans="1:18" ht="16" customHeight="1" x14ac:dyDescent="0.35">
      <c r="A21" s="29" t="s">
        <v>73</v>
      </c>
      <c r="B21" s="30" t="str">
        <f>(S14+0+MAX(COUNTIFS(Schedule!$C$2:$C$200,"PP7",Schedule!$K$2:$K$200,"PTO"),0))&amp;"/6"&amp;IF(MAX(COUNTIFS(Schedule!$C$2:$C$200,"PP7",Schedule!$K$2:$K$200,"PTO"),0)&gt;0,"  "&amp;MAX(COUNTIFS(Schedule!$C$2:$C$200,"PP7",Schedule!$K$2:$K$200,"PTO"),0)&amp;" PTO","")</f>
        <v>5/6</v>
      </c>
      <c r="C21" s="30" t="str">
        <f>(T14+0+MAX(COUNTIFS(Schedule!$C$2:$C$200,"PP7",Schedule!$L$2:$L$200,"PTO"),0))&amp;"/6"&amp;IF(MAX(COUNTIFS(Schedule!$C$2:$C$200,"PP7",Schedule!$L$2:$L$200,"PTO"),0)&gt;0,"  "&amp;MAX(COUNTIFS(Schedule!$C$2:$C$200,"PP7",Schedule!$L$2:$L$200,"PTO"),0)&amp;" PTO","")</f>
        <v>6/6</v>
      </c>
      <c r="D21" s="30" t="str">
        <f>(U14+0+MAX(COUNTIFS(Schedule!$C$2:$C$200,"PP7",Schedule!$M$2:$M$200,"PTO"),0))&amp;"/6"&amp;IF(MAX(COUNTIFS(Schedule!$C$2:$C$200,"PP7",Schedule!$M$2:$M$200,"PTO"),0)&gt;0,"  "&amp;MAX(COUNTIFS(Schedule!$C$2:$C$200,"PP7",Schedule!$M$2:$M$200,"PTO"),0)&amp;" PTO","")</f>
        <v>6/6</v>
      </c>
      <c r="E21" s="30" t="str">
        <f>(V14+0+MAX(COUNTIFS(Schedule!$C$2:$C$200,"PP7",Schedule!$N$2:$N$200,"PTO"),0))&amp;"/6"&amp;IF(MAX(COUNTIFS(Schedule!$C$2:$C$200,"PP7",Schedule!$N$2:$N$200,"PTO"),0)&gt;0,"  "&amp;MAX(COUNTIFS(Schedule!$C$2:$C$200,"PP7",Schedule!$N$2:$N$200,"PTO"),0)&amp;" PTO","")</f>
        <v>6/6</v>
      </c>
      <c r="F21" s="30" t="str">
        <f>(W14+0+MAX(COUNTIFS(Schedule!$C$2:$C$200,"PP7",Schedule!$O$2:$O$200,"PTO"),0))&amp;"/6"&amp;IF(MAX(COUNTIFS(Schedule!$C$2:$C$200,"PP7",Schedule!$O$2:$O$200,"PTO"),0)&gt;0,"  "&amp;MAX(COUNTIFS(Schedule!$C$2:$C$200,"PP7",Schedule!$O$2:$O$200,"PTO"),0)&amp;" PTO","")</f>
        <v>6/6</v>
      </c>
      <c r="G21" s="30" t="str">
        <f>(X14+0+MAX(COUNTIFS(Schedule!$C$2:$C$200,"PP7",Schedule!$P$2:$P$200,"PTO"),0))&amp;"/6"&amp;IF(MAX(COUNTIFS(Schedule!$C$2:$C$200,"PP7",Schedule!$P$2:$P$200,"PTO"),0)&gt;0,"  "&amp;MAX(COUNTIFS(Schedule!$C$2:$C$200,"PP7",Schedule!$P$2:$P$200,"PTO"),0)&amp;" PTO","")</f>
        <v>6/6</v>
      </c>
      <c r="H21" s="30" t="str">
        <f>(Y14+0+MAX(COUNTIFS(Schedule!$C$2:$C$200,"PP7",Schedule!$Q$2:$Q$200,"PTO"),0))&amp;"/6"&amp;IF(MAX(COUNTIFS(Schedule!$C$2:$C$200,"PP7",Schedule!$Q$2:$Q$200,"PTO"),0)&gt;0,"  "&amp;MAX(COUNTIFS(Schedule!$C$2:$C$200,"PP7",Schedule!$Q$2:$Q$200,"PTO"),0)&amp;" PTO","")</f>
        <v>6/6</v>
      </c>
      <c r="I21" s="30" t="str">
        <f>(Z14+0+MAX(COUNTIFS(Schedule!$C$2:$C$200,"PP7",Schedule!$R$2:$R$200,"PTO"),2))&amp;"/6"&amp;IF(MAX(COUNTIFS(Schedule!$C$2:$C$200,"PP7",Schedule!$R$2:$R$200,"PTO"),2)&gt;0,"  "&amp;MAX(COUNTIFS(Schedule!$C$2:$C$200,"PP7",Schedule!$R$2:$R$200,"PTO"),2)&amp;" PTO","")</f>
        <v>6/6  3 PTO</v>
      </c>
      <c r="J21" s="30" t="str">
        <f>(AA14+0+MAX(COUNTIFS(Schedule!$C$2:$C$200,"PP7",Schedule!$S$2:$S$200,"PTO"),0))&amp;"/6"&amp;IF(MAX(COUNTIFS(Schedule!$C$2:$C$200,"PP7",Schedule!$S$2:$S$200,"PTO"),0)&gt;0,"  "&amp;MAX(COUNTIFS(Schedule!$C$2:$C$200,"PP7",Schedule!$S$2:$S$200,"PTO"),0)&amp;" PTO","")</f>
        <v>6/6</v>
      </c>
      <c r="K21" s="30" t="str">
        <f>(AB14+0+MAX(COUNTIFS(Schedule!$C$2:$C$200,"PP7",Schedule!$T$2:$T$200,"PTO"),0))&amp;"/6"&amp;IF(MAX(COUNTIFS(Schedule!$C$2:$C$200,"PP7",Schedule!$T$2:$T$200,"PTO"),0)&gt;0,"  "&amp;MAX(COUNTIFS(Schedule!$C$2:$C$200,"PP7",Schedule!$T$2:$T$200,"PTO"),0)&amp;" PTO","")</f>
        <v>6/6</v>
      </c>
      <c r="L21" s="30" t="str">
        <f>(AC14+0+MAX(COUNTIFS(Schedule!$C$2:$C$200,"PP7",Schedule!$U$2:$U$200,"PTO"),0))&amp;"/0"&amp;IF(MAX(COUNTIFS(Schedule!$C$2:$C$200,"PP7",Schedule!$U$2:$U$200,"PTO"),0)&gt;0,"  "&amp;MAX(COUNTIFS(Schedule!$C$2:$C$200,"PP7",Schedule!$U$2:$U$200,"PTO"),0)&amp;" PTO","")</f>
        <v>0/0</v>
      </c>
      <c r="M21" s="30" t="str">
        <f>(AD14+0+MAX(COUNTIFS(Schedule!$C$2:$C$200,"PP7",Schedule!$V$2:$V$200,"PTO"),0))&amp;"/0"&amp;IF(MAX(COUNTIFS(Schedule!$C$2:$C$200,"PP7",Schedule!$V$2:$V$200,"PTO"),0)&gt;0,"  "&amp;MAX(COUNTIFS(Schedule!$C$2:$C$200,"PP7",Schedule!$V$2:$V$200,"PTO"),0)&amp;" PTO","")</f>
        <v>0/0</v>
      </c>
      <c r="N21" s="30" t="str">
        <f>(AE14+0+MAX(COUNTIFS(Schedule!$C$2:$C$200,"PP7",Schedule!$W$2:$W$200,"PTO"),0))&amp;"/0"&amp;IF(MAX(COUNTIFS(Schedule!$C$2:$C$200,"PP7",Schedule!$W$2:$W$200,"PTO"),0)&gt;0,"  "&amp;MAX(COUNTIFS(Schedule!$C$2:$C$200,"PP7",Schedule!$W$2:$W$200,"PTO"),0)&amp;" PTO","")</f>
        <v>0/0</v>
      </c>
      <c r="O21" s="30" t="str">
        <f>(AF14+0+MAX(COUNTIFS(Schedule!$C$2:$C$200,"PP7",Schedule!$X$2:$X$200,"PTO"),0))&amp;"/0"&amp;IF(MAX(COUNTIFS(Schedule!$C$2:$C$200,"PP7",Schedule!$X$2:$X$200,"PTO"),0)&gt;0,"  "&amp;MAX(COUNTIFS(Schedule!$C$2:$C$200,"PP7",Schedule!$X$2:$X$200,"PTO"),0)&amp;" PTO","")</f>
        <v>0/0</v>
      </c>
      <c r="P21" s="30" t="str">
        <f>(AG14+0+MAX(COUNTIFS(Schedule!$C$2:$C$200,"PP7",Schedule!$Y$2:$Y$200,"PTO"),0))&amp;"/0"&amp;IF(MAX(COUNTIFS(Schedule!$C$2:$C$200,"PP7",Schedule!$Y$2:$Y$200,"PTO"),0)&gt;0,"  "&amp;MAX(COUNTIFS(Schedule!$C$2:$C$200,"PP7",Schedule!$Y$2:$Y$200,"PTO"),0)&amp;" PTO","")</f>
        <v>0/0</v>
      </c>
      <c r="Q21" s="30" t="str">
        <f>(AH14+0+MAX(COUNTIFS(Schedule!$C$2:$C$200,"PP7",Schedule!$Z$2:$Z$200,"PTO"),0))&amp;"/0"&amp;IF(MAX(COUNTIFS(Schedule!$C$2:$C$200,"PP7",Schedule!$Z$2:$Z$200,"PTO"),0)&gt;0,"  "&amp;MAX(COUNTIFS(Schedule!$C$2:$C$200,"PP7",Schedule!$Z$2:$Z$200,"PTO"),0)&amp;" PTO","")</f>
        <v>0/0</v>
      </c>
      <c r="R21" s="30">
        <f>COUNTBLANK(Schedule!$D$94:$G$107)</f>
        <v>0</v>
      </c>
    </row>
    <row r="23" spans="1:18" ht="20" customHeight="1" x14ac:dyDescent="0.35">
      <c r="A23" s="51" t="s">
        <v>74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4" spans="1:18" ht="18" customHeight="1" x14ac:dyDescent="0.35">
      <c r="A24" s="31" t="s">
        <v>75</v>
      </c>
      <c r="B24" s="52" t="s">
        <v>76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spans="1:18" ht="18" customHeight="1" x14ac:dyDescent="0.35">
      <c r="A25" s="31" t="s">
        <v>77</v>
      </c>
      <c r="B25" s="52" t="s">
        <v>78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spans="1:18" ht="18" customHeight="1" x14ac:dyDescent="0.35">
      <c r="A26" s="31" t="s">
        <v>79</v>
      </c>
      <c r="B26" s="52" t="s">
        <v>80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spans="1:18" ht="18" customHeight="1" x14ac:dyDescent="0.35">
      <c r="A27" s="31" t="s">
        <v>81</v>
      </c>
      <c r="B27" s="52" t="s">
        <v>82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spans="1:18" ht="18" customHeight="1" x14ac:dyDescent="0.35">
      <c r="A28" s="31" t="s">
        <v>83</v>
      </c>
      <c r="B28" s="52" t="s">
        <v>84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8" ht="18" customHeight="1" x14ac:dyDescent="0.35">
      <c r="A29" s="31" t="s">
        <v>85</v>
      </c>
      <c r="B29" s="52" t="s">
        <v>86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8" ht="18" customHeight="1" x14ac:dyDescent="0.35">
      <c r="A30" s="31" t="s">
        <v>87</v>
      </c>
      <c r="B30" s="52" t="s">
        <v>88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</sheetData>
  <mergeCells count="11">
    <mergeCell ref="B30:Q30"/>
    <mergeCell ref="B25:Q25"/>
    <mergeCell ref="B26:Q26"/>
    <mergeCell ref="B27:Q27"/>
    <mergeCell ref="B28:Q28"/>
    <mergeCell ref="B29:Q29"/>
    <mergeCell ref="A1:Q1"/>
    <mergeCell ref="A2:Q2"/>
    <mergeCell ref="A13:R13"/>
    <mergeCell ref="A23:Q23"/>
    <mergeCell ref="B24:Q24"/>
  </mergeCells>
  <conditionalFormatting sqref="B10:Q10">
    <cfRule type="expression" dxfId="248" priority="237">
      <formula>B10&gt;0</formula>
    </cfRule>
  </conditionalFormatting>
  <conditionalFormatting sqref="B11:Q11">
    <cfRule type="expression" dxfId="247" priority="236">
      <formula>B11&gt;0</formula>
    </cfRule>
  </conditionalFormatting>
  <conditionalFormatting sqref="R15:R21">
    <cfRule type="expression" dxfId="36" priority="5">
      <formula>R15&gt;0</formula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4" id="{00000000-000E-0000-0100-0000E6000000}">
            <xm:f>S8+0+MAX(COUNTIFS(Schedule!$C$2:$C$200,"PP1",Schedule!$K$2:$K$200,"PTO"),0)&gt;6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35" id="{00000000-000E-0000-0100-0000E7000000}">
            <xm:f>S8+0+MAX(COUNTIFS(Schedule!$C$2:$C$200,"PP1",Schedule!$K$2:$K$200,"PTO"),0)&lt;6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201" id="{00000000-000E-0000-0100-0000C5000000}">
            <xm:f>S9+0+MAX(COUNTIFS(Schedule!$C$2:$C$200,"PP2",Schedule!$K$2:$K$200,"PTO"),0)&gt;6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02" id="{00000000-000E-0000-0100-0000C6000000}">
            <xm:f>S9+0+MAX(COUNTIFS(Schedule!$C$2:$C$200,"PP2",Schedule!$K$2:$K$200,"PTO"),0)&lt;6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expression" priority="168" id="{00000000-000E-0000-0100-0000A4000000}">
            <xm:f>S10+0+MAX(COUNTIFS(Schedule!$C$2:$C$200,"PP3",Schedule!$K$2:$K$200,"PTO"),0)&gt;6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69" id="{00000000-000E-0000-0100-0000A5000000}">
            <xm:f>S10+0+MAX(COUNTIFS(Schedule!$C$2:$C$200,"PP3",Schedule!$K$2:$K$200,"PTO"),0)&lt;6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135" id="{00000000-000E-0000-0100-000083000000}">
            <xm:f>S11+0+MAX(COUNTIFS(Schedule!$C$2:$C$200,"PP4",Schedule!$K$2:$K$200,"PTO"),1)&gt;6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6" id="{00000000-000E-0000-0100-000084000000}">
            <xm:f>S11+0+MAX(COUNTIFS(Schedule!$C$2:$C$200,"PP4",Schedule!$K$2:$K$200,"PTO"),1)&lt;6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B18</xm:sqref>
        </x14:conditionalFormatting>
        <x14:conditionalFormatting xmlns:xm="http://schemas.microsoft.com/office/excel/2006/main">
          <x14:cfRule type="expression" priority="102" id="{00000000-000E-0000-0100-000062000000}">
            <xm:f>S12+0+MAX(COUNTIFS(Schedule!$C$2:$C$200,"PP5",Schedule!$K$2:$K$200,"PTO"),0)&gt;6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03" id="{00000000-000E-0000-0100-000063000000}">
            <xm:f>S12+0+MAX(COUNTIFS(Schedule!$C$2:$C$200,"PP5",Schedule!$K$2:$K$200,"PTO"),0)&lt;6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69" id="{00000000-000E-0000-0100-000041000000}">
            <xm:f>S13+0+MAX(COUNTIFS(Schedule!$C$2:$C$200,"PP6",Schedule!$K$2:$K$200,"PTO"),0)&gt;6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0" id="{00000000-000E-0000-0100-000042000000}">
            <xm:f>S13+0+MAX(COUNTIFS(Schedule!$C$2:$C$200,"PP6",Schedule!$K$2:$K$200,"PTO"),0)&lt;6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36" id="{00000000-000E-0000-0100-000020000000}">
            <xm:f>S14+0+MAX(COUNTIFS(Schedule!$C$2:$C$200,"PP7",Schedule!$K$2:$K$200,"PTO"),0)&gt;6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37" id="{00000000-000E-0000-0100-000021000000}">
            <xm:f>S14+0+MAX(COUNTIFS(Schedule!$C$2:$C$200,"PP7",Schedule!$K$2:$K$200,"PTO"),0)&lt;6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232" id="{00000000-000E-0000-0100-0000E4000000}">
            <xm:f>T8+0+MAX(COUNTIFS(Schedule!$C$2:$C$200,"PP1",Schedule!$L$2:$L$200,"PTO"),1)&gt;6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33" id="{00000000-000E-0000-0100-0000E5000000}">
            <xm:f>T8+0+MAX(COUNTIFS(Schedule!$C$2:$C$200,"PP1",Schedule!$L$2:$L$200,"PTO"),1)&lt;6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expression" priority="199" id="{00000000-000E-0000-0100-0000C3000000}">
            <xm:f>T9+1+MAX(COUNTIFS(Schedule!$C$2:$C$200,"PP2",Schedule!$L$2:$L$200,"PTO"),0)&gt;6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00" id="{00000000-000E-0000-0100-0000C4000000}">
            <xm:f>T9+1+MAX(COUNTIFS(Schedule!$C$2:$C$200,"PP2",Schedule!$L$2:$L$200,"PTO"),0)&lt;6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expression" priority="166" id="{00000000-000E-0000-0100-0000A2000000}">
            <xm:f>T10+0+MAX(COUNTIFS(Schedule!$C$2:$C$200,"PP3",Schedule!$L$2:$L$200,"PTO"),0)&gt;6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67" id="{00000000-000E-0000-0100-0000A3000000}">
            <xm:f>T10+0+MAX(COUNTIFS(Schedule!$C$2:$C$200,"PP3",Schedule!$L$2:$L$200,"PTO"),0)&lt;6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133" id="{00000000-000E-0000-0100-000081000000}">
            <xm:f>T11+0+MAX(COUNTIFS(Schedule!$C$2:$C$200,"PP4",Schedule!$L$2:$L$200,"PTO"),0)&gt;6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4" id="{00000000-000E-0000-0100-000082000000}">
            <xm:f>T11+0+MAX(COUNTIFS(Schedule!$C$2:$C$200,"PP4",Schedule!$L$2:$L$200,"PTO"),0)&lt;6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C18</xm:sqref>
        </x14:conditionalFormatting>
        <x14:conditionalFormatting xmlns:xm="http://schemas.microsoft.com/office/excel/2006/main">
          <x14:cfRule type="expression" priority="100" id="{00000000-000E-0000-0100-000060000000}">
            <xm:f>T12+0+MAX(COUNTIFS(Schedule!$C$2:$C$200,"PP5",Schedule!$L$2:$L$200,"PTO"),1)&gt;6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01" id="{00000000-000E-0000-0100-000061000000}">
            <xm:f>T12+0+MAX(COUNTIFS(Schedule!$C$2:$C$200,"PP5",Schedule!$L$2:$L$200,"PTO"),1)&lt;6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expression" priority="67" id="{00000000-000E-0000-0100-00003F000000}">
            <xm:f>T13+0+MAX(COUNTIFS(Schedule!$C$2:$C$200,"PP6",Schedule!$L$2:$L$200,"PTO"),0)&gt;6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68" id="{00000000-000E-0000-0100-000040000000}">
            <xm:f>T13+0+MAX(COUNTIFS(Schedule!$C$2:$C$200,"PP6",Schedule!$L$2:$L$200,"PTO"),0)&lt;6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C20</xm:sqref>
        </x14:conditionalFormatting>
        <x14:conditionalFormatting xmlns:xm="http://schemas.microsoft.com/office/excel/2006/main">
          <x14:cfRule type="expression" priority="34" id="{00000000-000E-0000-0100-00001E000000}">
            <xm:f>T14+0+MAX(COUNTIFS(Schedule!$C$2:$C$200,"PP7",Schedule!$L$2:$L$200,"PTO"),0)&gt;6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35" id="{00000000-000E-0000-0100-00001F000000}">
            <xm:f>T14+0+MAX(COUNTIFS(Schedule!$C$2:$C$200,"PP7",Schedule!$L$2:$L$200,"PTO"),0)&lt;6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expression" priority="230" id="{00000000-000E-0000-0100-0000E2000000}">
            <xm:f>U8+0+MAX(COUNTIFS(Schedule!$C$2:$C$200,"PP1",Schedule!$M$2:$M$200,"PTO"),0)&gt;6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31" id="{00000000-000E-0000-0100-0000E3000000}">
            <xm:f>U8+0+MAX(COUNTIFS(Schedule!$C$2:$C$200,"PP1",Schedule!$M$2:$M$200,"PTO"),0)&lt;6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expression" priority="197" id="{00000000-000E-0000-0100-0000C1000000}">
            <xm:f>U9+0+MAX(COUNTIFS(Schedule!$C$2:$C$200,"PP2",Schedule!$M$2:$M$200,"PTO"),0)&gt;6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98" id="{00000000-000E-0000-0100-0000C2000000}">
            <xm:f>U9+0+MAX(COUNTIFS(Schedule!$C$2:$C$200,"PP2",Schedule!$M$2:$M$200,"PTO"),0)&lt;6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expression" priority="164" id="{00000000-000E-0000-0100-0000A0000000}">
            <xm:f>U10+0+MAX(COUNTIFS(Schedule!$C$2:$C$200,"PP3",Schedule!$M$2:$M$200,"PTO"),0)&gt;6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65" id="{00000000-000E-0000-0100-0000A1000000}">
            <xm:f>U10+0+MAX(COUNTIFS(Schedule!$C$2:$C$200,"PP3",Schedule!$M$2:$M$200,"PTO"),0)&lt;6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expression" priority="131" id="{00000000-000E-0000-0100-00007F000000}">
            <xm:f>U11+0+MAX(COUNTIFS(Schedule!$C$2:$C$200,"PP4",Schedule!$M$2:$M$200,"PTO"),0)&gt;6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2" id="{00000000-000E-0000-0100-000080000000}">
            <xm:f>U11+0+MAX(COUNTIFS(Schedule!$C$2:$C$200,"PP4",Schedule!$M$2:$M$200,"PTO"),0)&lt;6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expression" priority="98" id="{00000000-000E-0000-0100-00005E000000}">
            <xm:f>U12+0+MAX(COUNTIFS(Schedule!$C$2:$C$200,"PP5",Schedule!$M$2:$M$200,"PTO"),0)&gt;6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9" id="{00000000-000E-0000-0100-00005F000000}">
            <xm:f>U12+0+MAX(COUNTIFS(Schedule!$C$2:$C$200,"PP5",Schedule!$M$2:$M$200,"PTO"),0)&lt;6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expression" priority="65" id="{00000000-000E-0000-0100-00003D000000}">
            <xm:f>U13+0+MAX(COUNTIFS(Schedule!$C$2:$C$200,"PP6",Schedule!$M$2:$M$200,"PTO"),0)&gt;6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66" id="{00000000-000E-0000-0100-00003E000000}">
            <xm:f>U13+0+MAX(COUNTIFS(Schedule!$C$2:$C$200,"PP6",Schedule!$M$2:$M$200,"PTO"),0)&lt;6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expression" priority="32" id="{00000000-000E-0000-0100-00001C000000}">
            <xm:f>U14+0+MAX(COUNTIFS(Schedule!$C$2:$C$200,"PP7",Schedule!$M$2:$M$200,"PTO"),0)&gt;6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33" id="{00000000-000E-0000-0100-00001D000000}">
            <xm:f>U14+0+MAX(COUNTIFS(Schedule!$C$2:$C$200,"PP7",Schedule!$M$2:$M$200,"PTO"),0)&lt;6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expression" priority="228" id="{00000000-000E-0000-0100-0000E0000000}">
            <xm:f>V8+2+MAX(COUNTIFS(Schedule!$C$2:$C$200,"PP1",Schedule!$N$2:$N$200,"PTO"),0)&gt;6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29" id="{00000000-000E-0000-0100-0000E1000000}">
            <xm:f>V8+2+MAX(COUNTIFS(Schedule!$C$2:$C$200,"PP1",Schedule!$N$2:$N$200,"PTO"),0)&lt;6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expression" priority="195" id="{00000000-000E-0000-0100-0000BF000000}">
            <xm:f>V9+1+MAX(COUNTIFS(Schedule!$C$2:$C$200,"PP2",Schedule!$N$2:$N$200,"PTO"),0)&gt;6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96" id="{00000000-000E-0000-0100-0000C0000000}">
            <xm:f>V9+1+MAX(COUNTIFS(Schedule!$C$2:$C$200,"PP2",Schedule!$N$2:$N$200,"PTO"),0)&lt;6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162" id="{00000000-000E-0000-0100-00009E000000}">
            <xm:f>V10+0+MAX(COUNTIFS(Schedule!$C$2:$C$200,"PP3",Schedule!$N$2:$N$200,"PTO"),0)&gt;6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63" id="{00000000-000E-0000-0100-00009F000000}">
            <xm:f>V10+0+MAX(COUNTIFS(Schedule!$C$2:$C$200,"PP3",Schedule!$N$2:$N$200,"PTO"),0)&lt;6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expression" priority="129" id="{00000000-000E-0000-0100-00007D000000}">
            <xm:f>V11+0+MAX(COUNTIFS(Schedule!$C$2:$C$200,"PP4",Schedule!$N$2:$N$200,"PTO"),0)&gt;6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0" id="{00000000-000E-0000-0100-00007E000000}">
            <xm:f>V11+0+MAX(COUNTIFS(Schedule!$C$2:$C$200,"PP4",Schedule!$N$2:$N$200,"PTO"),0)&lt;6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expression" priority="96" id="{00000000-000E-0000-0100-00005C000000}">
            <xm:f>V12+0+MAX(COUNTIFS(Schedule!$C$2:$C$200,"PP5",Schedule!$N$2:$N$200,"PTO"),2)&gt;6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7" id="{00000000-000E-0000-0100-00005D000000}">
            <xm:f>V12+0+MAX(COUNTIFS(Schedule!$C$2:$C$200,"PP5",Schedule!$N$2:$N$200,"PTO"),2)&lt;6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expression" priority="63" id="{00000000-000E-0000-0100-00003B000000}">
            <xm:f>V13+0+MAX(COUNTIFS(Schedule!$C$2:$C$200,"PP6",Schedule!$N$2:$N$200,"PTO"),0)&gt;6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64" id="{00000000-000E-0000-0100-00003C000000}">
            <xm:f>V13+0+MAX(COUNTIFS(Schedule!$C$2:$C$200,"PP6",Schedule!$N$2:$N$200,"PTO"),0)&lt;6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expression" priority="30" id="{00000000-000E-0000-0100-00001A000000}">
            <xm:f>V14+0+MAX(COUNTIFS(Schedule!$C$2:$C$200,"PP7",Schedule!$N$2:$N$200,"PTO"),0)&gt;6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31" id="{00000000-000E-0000-0100-00001B000000}">
            <xm:f>V14+0+MAX(COUNTIFS(Schedule!$C$2:$C$200,"PP7",Schedule!$N$2:$N$200,"PTO"),0)&lt;6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expression" priority="226" id="{00000000-000E-0000-0100-0000DE000000}">
            <xm:f>W8+0+MAX(COUNTIFS(Schedule!$C$2:$C$200,"PP1",Schedule!$O$2:$O$200,"PTO"),1)&gt;6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27" id="{00000000-000E-0000-0100-0000DF000000}">
            <xm:f>W8+0+MAX(COUNTIFS(Schedule!$C$2:$C$200,"PP1",Schedule!$O$2:$O$200,"PTO"),1)&lt;6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F15</xm:sqref>
        </x14:conditionalFormatting>
        <x14:conditionalFormatting xmlns:xm="http://schemas.microsoft.com/office/excel/2006/main">
          <x14:cfRule type="expression" priority="193" id="{00000000-000E-0000-0100-0000BD000000}">
            <xm:f>W9+1+MAX(COUNTIFS(Schedule!$C$2:$C$200,"PP2",Schedule!$O$2:$O$200,"PTO"),0)&gt;6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94" id="{00000000-000E-0000-0100-0000BE000000}">
            <xm:f>W9+1+MAX(COUNTIFS(Schedule!$C$2:$C$200,"PP2",Schedule!$O$2:$O$200,"PTO"),0)&lt;6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F16</xm:sqref>
        </x14:conditionalFormatting>
        <x14:conditionalFormatting xmlns:xm="http://schemas.microsoft.com/office/excel/2006/main">
          <x14:cfRule type="expression" priority="160" id="{00000000-000E-0000-0100-00009C000000}">
            <xm:f>W10+0+MAX(COUNTIFS(Schedule!$C$2:$C$200,"PP3",Schedule!$O$2:$O$200,"PTO"),0)&gt;6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61" id="{00000000-000E-0000-0100-00009D000000}">
            <xm:f>W10+0+MAX(COUNTIFS(Schedule!$C$2:$C$200,"PP3",Schedule!$O$2:$O$200,"PTO"),0)&lt;6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expression" priority="127" id="{00000000-000E-0000-0100-00007B000000}">
            <xm:f>W11+0+MAX(COUNTIFS(Schedule!$C$2:$C$200,"PP4",Schedule!$O$2:$O$200,"PTO"),0)&gt;6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28" id="{00000000-000E-0000-0100-00007C000000}">
            <xm:f>W11+0+MAX(COUNTIFS(Schedule!$C$2:$C$200,"PP4",Schedule!$O$2:$O$200,"PTO"),0)&lt;6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F18</xm:sqref>
        </x14:conditionalFormatting>
        <x14:conditionalFormatting xmlns:xm="http://schemas.microsoft.com/office/excel/2006/main">
          <x14:cfRule type="expression" priority="94" id="{00000000-000E-0000-0100-00005A000000}">
            <xm:f>W12+0+MAX(COUNTIFS(Schedule!$C$2:$C$200,"PP5",Schedule!$O$2:$O$200,"PTO"),2)&gt;6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5" id="{00000000-000E-0000-0100-00005B000000}">
            <xm:f>W12+0+MAX(COUNTIFS(Schedule!$C$2:$C$200,"PP5",Schedule!$O$2:$O$200,"PTO"),2)&lt;6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F19</xm:sqref>
        </x14:conditionalFormatting>
        <x14:conditionalFormatting xmlns:xm="http://schemas.microsoft.com/office/excel/2006/main">
          <x14:cfRule type="expression" priority="61" id="{00000000-000E-0000-0100-000039000000}">
            <xm:f>W13+0+MAX(COUNTIFS(Schedule!$C$2:$C$200,"PP6",Schedule!$O$2:$O$200,"PTO"),0)&gt;6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62" id="{00000000-000E-0000-0100-00003A000000}">
            <xm:f>W13+0+MAX(COUNTIFS(Schedule!$C$2:$C$200,"PP6",Schedule!$O$2:$O$200,"PTO"),0)&lt;6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28" id="{00000000-000E-0000-0100-000018000000}">
            <xm:f>W14+0+MAX(COUNTIFS(Schedule!$C$2:$C$200,"PP7",Schedule!$O$2:$O$200,"PTO"),0)&gt;6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9" id="{00000000-000E-0000-0100-000019000000}">
            <xm:f>W14+0+MAX(COUNTIFS(Schedule!$C$2:$C$200,"PP7",Schedule!$O$2:$O$200,"PTO"),0)&lt;6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F21</xm:sqref>
        </x14:conditionalFormatting>
        <x14:conditionalFormatting xmlns:xm="http://schemas.microsoft.com/office/excel/2006/main">
          <x14:cfRule type="expression" priority="224" id="{00000000-000E-0000-0100-0000DC000000}">
            <xm:f>X8+2+MAX(COUNTIFS(Schedule!$C$2:$C$200,"PP1",Schedule!$P$2:$P$200,"PTO"),0)&gt;6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25" id="{00000000-000E-0000-0100-0000DD000000}">
            <xm:f>X8+2+MAX(COUNTIFS(Schedule!$C$2:$C$200,"PP1",Schedule!$P$2:$P$200,"PTO"),0)&lt;6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G15</xm:sqref>
        </x14:conditionalFormatting>
        <x14:conditionalFormatting xmlns:xm="http://schemas.microsoft.com/office/excel/2006/main">
          <x14:cfRule type="expression" priority="158" id="{00000000-000E-0000-0100-00009A000000}">
            <xm:f>X10+0+MAX(COUNTIFS(Schedule!$C$2:$C$200,"PP3",Schedule!$P$2:$P$200,"PTO"),2)&gt;6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9" id="{00000000-000E-0000-0100-00009B000000}">
            <xm:f>X10+0+MAX(COUNTIFS(Schedule!$C$2:$C$200,"PP3",Schedule!$P$2:$P$200,"PTO"),2)&lt;6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G17</xm:sqref>
        </x14:conditionalFormatting>
        <x14:conditionalFormatting xmlns:xm="http://schemas.microsoft.com/office/excel/2006/main">
          <x14:cfRule type="expression" priority="125" id="{00000000-000E-0000-0100-000079000000}">
            <xm:f>X11+0+MAX(COUNTIFS(Schedule!$C$2:$C$200,"PP4",Schedule!$P$2:$P$200,"PTO"),0)&gt;6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26" id="{00000000-000E-0000-0100-00007A000000}">
            <xm:f>X11+0+MAX(COUNTIFS(Schedule!$C$2:$C$200,"PP4",Schedule!$P$2:$P$200,"PTO"),0)&lt;6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expression" priority="92" id="{00000000-000E-0000-0100-000058000000}">
            <xm:f>X12+0+MAX(COUNTIFS(Schedule!$C$2:$C$200,"PP5",Schedule!$P$2:$P$200,"PTO"),2)&gt;6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3" id="{00000000-000E-0000-0100-000059000000}">
            <xm:f>X12+0+MAX(COUNTIFS(Schedule!$C$2:$C$200,"PP5",Schedule!$P$2:$P$200,"PTO"),2)&lt;6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G19</xm:sqref>
        </x14:conditionalFormatting>
        <x14:conditionalFormatting xmlns:xm="http://schemas.microsoft.com/office/excel/2006/main">
          <x14:cfRule type="expression" priority="59" id="{00000000-000E-0000-0100-000037000000}">
            <xm:f>X13+0+MAX(COUNTIFS(Schedule!$C$2:$C$200,"PP6",Schedule!$P$2:$P$200,"PTO"),0)&gt;6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60" id="{00000000-000E-0000-0100-000038000000}">
            <xm:f>X13+0+MAX(COUNTIFS(Schedule!$C$2:$C$200,"PP6",Schedule!$P$2:$P$200,"PTO"),0)&lt;6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expression" priority="26" id="{00000000-000E-0000-0100-000016000000}">
            <xm:f>X14+0+MAX(COUNTIFS(Schedule!$C$2:$C$200,"PP7",Schedule!$P$2:$P$200,"PTO"),0)&gt;6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7" id="{00000000-000E-0000-0100-000017000000}">
            <xm:f>X14+0+MAX(COUNTIFS(Schedule!$C$2:$C$200,"PP7",Schedule!$P$2:$P$200,"PTO"),0)&lt;6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G21</xm:sqref>
        </x14:conditionalFormatting>
        <x14:conditionalFormatting xmlns:xm="http://schemas.microsoft.com/office/excel/2006/main">
          <x14:cfRule type="expression" priority="222" id="{00000000-000E-0000-0100-0000DA000000}">
            <xm:f>Y8+2+MAX(COUNTIFS(Schedule!$C$2:$C$200,"PP1",Schedule!$Q$2:$Q$200,"PTO"),0)&gt;6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23" id="{00000000-000E-0000-0100-0000DB000000}">
            <xm:f>Y8+2+MAX(COUNTIFS(Schedule!$C$2:$C$200,"PP1",Schedule!$Q$2:$Q$200,"PTO"),0)&lt;6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expression" priority="189" id="{00000000-000E-0000-0100-0000B9000000}">
            <xm:f>Y9+1+MAX(COUNTIFS(Schedule!$C$2:$C$200,"PP2",Schedule!$Q$2:$Q$200,"PTO"),0)&gt;6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90" id="{00000000-000E-0000-0100-0000BA000000}">
            <xm:f>Y9+1+MAX(COUNTIFS(Schedule!$C$2:$C$200,"PP2",Schedule!$Q$2:$Q$200,"PTO"),0)&lt;6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H16</xm:sqref>
        </x14:conditionalFormatting>
        <x14:conditionalFormatting xmlns:xm="http://schemas.microsoft.com/office/excel/2006/main">
          <x14:cfRule type="expression" priority="156" id="{00000000-000E-0000-0100-000098000000}">
            <xm:f>Y10+0+MAX(COUNTIFS(Schedule!$C$2:$C$200,"PP3",Schedule!$Q$2:$Q$200,"PTO"),0)&gt;6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7" id="{00000000-000E-0000-0100-000099000000}">
            <xm:f>Y10+0+MAX(COUNTIFS(Schedule!$C$2:$C$200,"PP3",Schedule!$Q$2:$Q$200,"PTO"),0)&lt;6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expression" priority="123" id="{00000000-000E-0000-0100-000077000000}">
            <xm:f>Y11+0+MAX(COUNTIFS(Schedule!$C$2:$C$200,"PP4",Schedule!$Q$2:$Q$200,"PTO"),0)&gt;6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24" id="{00000000-000E-0000-0100-000078000000}">
            <xm:f>Y11+0+MAX(COUNTIFS(Schedule!$C$2:$C$200,"PP4",Schedule!$Q$2:$Q$200,"PTO"),0)&lt;6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expression" priority="90" id="{00000000-000E-0000-0100-000056000000}">
            <xm:f>Y12+0+MAX(COUNTIFS(Schedule!$C$2:$C$200,"PP5",Schedule!$Q$2:$Q$200,"PTO"),0)&gt;6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1" id="{00000000-000E-0000-0100-000057000000}">
            <xm:f>Y12+0+MAX(COUNTIFS(Schedule!$C$2:$C$200,"PP5",Schedule!$Q$2:$Q$200,"PTO"),0)&lt;6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H19</xm:sqref>
        </x14:conditionalFormatting>
        <x14:conditionalFormatting xmlns:xm="http://schemas.microsoft.com/office/excel/2006/main">
          <x14:cfRule type="expression" priority="57" id="{00000000-000E-0000-0100-000035000000}">
            <xm:f>Y13+0+MAX(COUNTIFS(Schedule!$C$2:$C$200,"PP6",Schedule!$Q$2:$Q$200,"PTO"),0)&gt;6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58" id="{00000000-000E-0000-0100-000036000000}">
            <xm:f>Y13+0+MAX(COUNTIFS(Schedule!$C$2:$C$200,"PP6",Schedule!$Q$2:$Q$200,"PTO"),0)&lt;6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24" id="{00000000-000E-0000-0100-000014000000}">
            <xm:f>Y14+0+MAX(COUNTIFS(Schedule!$C$2:$C$200,"PP7",Schedule!$Q$2:$Q$200,"PTO"),0)&gt;6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5" id="{00000000-000E-0000-0100-000015000000}">
            <xm:f>Y14+0+MAX(COUNTIFS(Schedule!$C$2:$C$200,"PP7",Schedule!$Q$2:$Q$200,"PTO"),0)&lt;6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H21</xm:sqref>
        </x14:conditionalFormatting>
        <x14:conditionalFormatting xmlns:xm="http://schemas.microsoft.com/office/excel/2006/main">
          <x14:cfRule type="expression" priority="220" id="{00000000-000E-0000-0100-0000D8000000}">
            <xm:f>Z8+0+MAX(COUNTIFS(Schedule!$C$2:$C$200,"PP1",Schedule!$R$2:$R$200,"PTO"),0)&gt;6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21" id="{00000000-000E-0000-0100-0000D9000000}">
            <xm:f>Z8+0+MAX(COUNTIFS(Schedule!$C$2:$C$200,"PP1",Schedule!$R$2:$R$200,"PTO"),0)&lt;6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expression" priority="187" id="{00000000-000E-0000-0100-0000B7000000}">
            <xm:f>Z9+0+MAX(COUNTIFS(Schedule!$C$2:$C$200,"PP2",Schedule!$R$2:$R$200,"PTO"),1)&gt;6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88" id="{00000000-000E-0000-0100-0000B8000000}">
            <xm:f>Z9+0+MAX(COUNTIFS(Schedule!$C$2:$C$200,"PP2",Schedule!$R$2:$R$200,"PTO"),1)&lt;6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expression" priority="154" id="{00000000-000E-0000-0100-000096000000}">
            <xm:f>Z10+0+MAX(COUNTIFS(Schedule!$C$2:$C$200,"PP3",Schedule!$R$2:$R$200,"PTO"),0)&gt;6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5" id="{00000000-000E-0000-0100-000097000000}">
            <xm:f>Z10+0+MAX(COUNTIFS(Schedule!$C$2:$C$200,"PP3",Schedule!$R$2:$R$200,"PTO"),0)&lt;6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I17</xm:sqref>
        </x14:conditionalFormatting>
        <x14:conditionalFormatting xmlns:xm="http://schemas.microsoft.com/office/excel/2006/main">
          <x14:cfRule type="expression" priority="121" id="{00000000-000E-0000-0100-000075000000}">
            <xm:f>Z11+0+MAX(COUNTIFS(Schedule!$C$2:$C$200,"PP4",Schedule!$R$2:$R$200,"PTO"),0)&gt;6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22" id="{00000000-000E-0000-0100-000076000000}">
            <xm:f>Z11+0+MAX(COUNTIFS(Schedule!$C$2:$C$200,"PP4",Schedule!$R$2:$R$200,"PTO"),0)&lt;6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I18</xm:sqref>
        </x14:conditionalFormatting>
        <x14:conditionalFormatting xmlns:xm="http://schemas.microsoft.com/office/excel/2006/main">
          <x14:cfRule type="expression" priority="88" id="{00000000-000E-0000-0100-000054000000}">
            <xm:f>Z12+0+MAX(COUNTIFS(Schedule!$C$2:$C$200,"PP5",Schedule!$R$2:$R$200,"PTO"),1)&gt;6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89" id="{00000000-000E-0000-0100-000055000000}">
            <xm:f>Z12+0+MAX(COUNTIFS(Schedule!$C$2:$C$200,"PP5",Schedule!$R$2:$R$200,"PTO"),1)&lt;6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I19</xm:sqref>
        </x14:conditionalFormatting>
        <x14:conditionalFormatting xmlns:xm="http://schemas.microsoft.com/office/excel/2006/main">
          <x14:cfRule type="expression" priority="55" id="{00000000-000E-0000-0100-000033000000}">
            <xm:f>Z13+0+MAX(COUNTIFS(Schedule!$C$2:$C$200,"PP6",Schedule!$R$2:$R$200,"PTO"),0)&gt;6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56" id="{00000000-000E-0000-0100-000034000000}">
            <xm:f>Z13+0+MAX(COUNTIFS(Schedule!$C$2:$C$200,"PP6",Schedule!$R$2:$R$200,"PTO"),0)&lt;6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I20</xm:sqref>
        </x14:conditionalFormatting>
        <x14:conditionalFormatting xmlns:xm="http://schemas.microsoft.com/office/excel/2006/main">
          <x14:cfRule type="expression" priority="22" id="{00000000-000E-0000-0100-000012000000}">
            <xm:f>Z14+0+MAX(COUNTIFS(Schedule!$C$2:$C$200,"PP7",Schedule!$R$2:$R$200,"PTO"),2)&gt;6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3" id="{00000000-000E-0000-0100-000013000000}">
            <xm:f>Z14+0+MAX(COUNTIFS(Schedule!$C$2:$C$200,"PP7",Schedule!$R$2:$R$200,"PTO"),2)&lt;6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I21</xm:sqref>
        </x14:conditionalFormatting>
        <x14:conditionalFormatting xmlns:xm="http://schemas.microsoft.com/office/excel/2006/main">
          <x14:cfRule type="expression" priority="218" id="{00000000-000E-0000-0100-0000D6000000}">
            <xm:f>AA8+0+MAX(COUNTIFS(Schedule!$C$2:$C$200,"PP1",Schedule!$S$2:$S$200,"PTO"),6)&gt;6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9" id="{00000000-000E-0000-0100-0000D7000000}">
            <xm:f>AA8+0+MAX(COUNTIFS(Schedule!$C$2:$C$200,"PP1",Schedule!$S$2:$S$200,"PTO"),6)&lt;6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185" id="{00000000-000E-0000-0100-0000B5000000}">
            <xm:f>AA9+0+MAX(COUNTIFS(Schedule!$C$2:$C$200,"PP2",Schedule!$S$2:$S$200,"PTO"),6)&gt;6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86" id="{00000000-000E-0000-0100-0000B6000000}">
            <xm:f>AA9+0+MAX(COUNTIFS(Schedule!$C$2:$C$200,"PP2",Schedule!$S$2:$S$200,"PTO"),6)&lt;6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expression" priority="152" id="{00000000-000E-0000-0100-000094000000}">
            <xm:f>AA10+0+MAX(COUNTIFS(Schedule!$C$2:$C$200,"PP3",Schedule!$S$2:$S$200,"PTO"),6)&gt;6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3" id="{00000000-000E-0000-0100-000095000000}">
            <xm:f>AA10+0+MAX(COUNTIFS(Schedule!$C$2:$C$200,"PP3",Schedule!$S$2:$S$200,"PTO"),6)&lt;6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expression" priority="119" id="{00000000-000E-0000-0100-000073000000}">
            <xm:f>AA11+0+MAX(COUNTIFS(Schedule!$C$2:$C$200,"PP4",Schedule!$S$2:$S$200,"PTO"),6)&gt;6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20" id="{00000000-000E-0000-0100-000074000000}">
            <xm:f>AA11+0+MAX(COUNTIFS(Schedule!$C$2:$C$200,"PP4",Schedule!$S$2:$S$200,"PTO"),6)&lt;6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86" id="{00000000-000E-0000-0100-000052000000}">
            <xm:f>AA12+0+MAX(COUNTIFS(Schedule!$C$2:$C$200,"PP5",Schedule!$S$2:$S$200,"PTO"),1)&gt;6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87" id="{00000000-000E-0000-0100-000053000000}">
            <xm:f>AA12+0+MAX(COUNTIFS(Schedule!$C$2:$C$200,"PP5",Schedule!$S$2:$S$200,"PTO"),1)&lt;6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expression" priority="53" id="{00000000-000E-0000-0100-000031000000}">
            <xm:f>AA13+0+MAX(COUNTIFS(Schedule!$C$2:$C$200,"PP6",Schedule!$S$2:$S$200,"PTO"),0)&gt;6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54" id="{00000000-000E-0000-0100-000032000000}">
            <xm:f>AA13+0+MAX(COUNTIFS(Schedule!$C$2:$C$200,"PP6",Schedule!$S$2:$S$200,"PTO"),0)&lt;6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expression" priority="20" id="{00000000-000E-0000-0100-000010000000}">
            <xm:f>AA14+0+MAX(COUNTIFS(Schedule!$C$2:$C$200,"PP7",Schedule!$S$2:$S$200,"PTO"),0)&gt;6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" id="{00000000-000E-0000-0100-000011000000}">
            <xm:f>AA14+0+MAX(COUNTIFS(Schedule!$C$2:$C$200,"PP7",Schedule!$S$2:$S$200,"PTO"),0)&lt;6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expression" priority="216" id="{00000000-000E-0000-0100-0000D4000000}">
            <xm:f>AB8+0+MAX(COUNTIFS(Schedule!$C$2:$C$200,"PP1",Schedule!$T$2:$T$200,"PTO"),0)&gt;6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7" id="{00000000-000E-0000-0100-0000D5000000}">
            <xm:f>AB8+0+MAX(COUNTIFS(Schedule!$C$2:$C$200,"PP1",Schedule!$T$2:$T$200,"PTO"),0)&lt;6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expression" priority="183" id="{00000000-000E-0000-0100-0000B3000000}">
            <xm:f>AB9+1+MAX(COUNTIFS(Schedule!$C$2:$C$200,"PP2",Schedule!$T$2:$T$200,"PTO"),0)&gt;6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84" id="{00000000-000E-0000-0100-0000B4000000}">
            <xm:f>AB9+1+MAX(COUNTIFS(Schedule!$C$2:$C$200,"PP2",Schedule!$T$2:$T$200,"PTO"),0)&lt;6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K16</xm:sqref>
        </x14:conditionalFormatting>
        <x14:conditionalFormatting xmlns:xm="http://schemas.microsoft.com/office/excel/2006/main">
          <x14:cfRule type="expression" priority="150" id="{00000000-000E-0000-0100-000092000000}">
            <xm:f>AB10+0+MAX(COUNTIFS(Schedule!$C$2:$C$200,"PP3",Schedule!$T$2:$T$200,"PTO"),1)&gt;6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1" id="{00000000-000E-0000-0100-000093000000}">
            <xm:f>AB10+0+MAX(COUNTIFS(Schedule!$C$2:$C$200,"PP3",Schedule!$T$2:$T$200,"PTO"),1)&lt;6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K17</xm:sqref>
        </x14:conditionalFormatting>
        <x14:conditionalFormatting xmlns:xm="http://schemas.microsoft.com/office/excel/2006/main">
          <x14:cfRule type="expression" priority="117" id="{00000000-000E-0000-0100-000071000000}">
            <xm:f>AB11+0+MAX(COUNTIFS(Schedule!$C$2:$C$200,"PP4",Schedule!$T$2:$T$200,"PTO"),0)&gt;6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8" id="{00000000-000E-0000-0100-000072000000}">
            <xm:f>AB11+0+MAX(COUNTIFS(Schedule!$C$2:$C$200,"PP4",Schedule!$T$2:$T$200,"PTO"),0)&lt;6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K18</xm:sqref>
        </x14:conditionalFormatting>
        <x14:conditionalFormatting xmlns:xm="http://schemas.microsoft.com/office/excel/2006/main">
          <x14:cfRule type="expression" priority="84" id="{00000000-000E-0000-0100-000050000000}">
            <xm:f>AB12+0+MAX(COUNTIFS(Schedule!$C$2:$C$200,"PP5",Schedule!$T$2:$T$200,"PTO"),0)&gt;6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85" id="{00000000-000E-0000-0100-000051000000}">
            <xm:f>AB12+0+MAX(COUNTIFS(Schedule!$C$2:$C$200,"PP5",Schedule!$T$2:$T$200,"PTO"),0)&lt;6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K19</xm:sqref>
        </x14:conditionalFormatting>
        <x14:conditionalFormatting xmlns:xm="http://schemas.microsoft.com/office/excel/2006/main">
          <x14:cfRule type="expression" priority="51" id="{00000000-000E-0000-0100-00002F000000}">
            <xm:f>AB13+0+MAX(COUNTIFS(Schedule!$C$2:$C$200,"PP6",Schedule!$T$2:$T$200,"PTO"),0)&gt;6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52" id="{00000000-000E-0000-0100-000030000000}">
            <xm:f>AB13+0+MAX(COUNTIFS(Schedule!$C$2:$C$200,"PP6",Schedule!$T$2:$T$200,"PTO"),0)&lt;6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K20</xm:sqref>
        </x14:conditionalFormatting>
        <x14:conditionalFormatting xmlns:xm="http://schemas.microsoft.com/office/excel/2006/main">
          <x14:cfRule type="expression" priority="18" id="{00000000-000E-0000-0100-00000E000000}">
            <xm:f>AB14+0+MAX(COUNTIFS(Schedule!$C$2:$C$200,"PP7",Schedule!$T$2:$T$200,"PTO"),0)&gt;6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9" id="{00000000-000E-0000-0100-00000F000000}">
            <xm:f>AB14+0+MAX(COUNTIFS(Schedule!$C$2:$C$200,"PP7",Schedule!$T$2:$T$200,"PTO"),0)&lt;6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K21</xm:sqref>
        </x14:conditionalFormatting>
        <x14:conditionalFormatting xmlns:xm="http://schemas.microsoft.com/office/excel/2006/main">
          <x14:cfRule type="expression" priority="214" id="{00000000-000E-0000-0100-0000D2000000}">
            <xm:f>AC8+0+MAX(COUNTIFS(Schedule!$C$2:$C$200,"PP1",Schedule!$U$2:$U$200,"PTO"),0)&gt;0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5" id="{00000000-000E-0000-0100-0000D3000000}">
            <xm:f>AC8+0+MAX(COUNTIFS(Schedule!$C$2:$C$200,"PP1",Schedule!$U$2:$U$200,"PTO"),0)&lt;0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expression" priority="181" id="{00000000-000E-0000-0100-0000B1000000}">
            <xm:f>AC9+0+MAX(COUNTIFS(Schedule!$C$2:$C$200,"PP2",Schedule!$U$2:$U$200,"PTO"),0)&gt;0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82" id="{00000000-000E-0000-0100-0000B2000000}">
            <xm:f>AC9+0+MAX(COUNTIFS(Schedule!$C$2:$C$200,"PP2",Schedule!$U$2:$U$200,"PTO"),0)&lt;0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expression" priority="148" id="{00000000-000E-0000-0100-000090000000}">
            <xm:f>AC10+0+MAX(COUNTIFS(Schedule!$C$2:$C$200,"PP3",Schedule!$U$2:$U$200,"PTO"),0)&gt;0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49" id="{00000000-000E-0000-0100-000091000000}">
            <xm:f>AC10+0+MAX(COUNTIFS(Schedule!$C$2:$C$200,"PP3",Schedule!$U$2:$U$200,"PTO"),0)&lt;0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expression" priority="115" id="{00000000-000E-0000-0100-00006F000000}">
            <xm:f>AC11+0+MAX(COUNTIFS(Schedule!$C$2:$C$200,"PP4",Schedule!$U$2:$U$200,"PTO"),0)&gt;0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6" id="{00000000-000E-0000-0100-000070000000}">
            <xm:f>AC11+0+MAX(COUNTIFS(Schedule!$C$2:$C$200,"PP4",Schedule!$U$2:$U$200,"PTO"),0)&lt;0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expression" priority="82" id="{00000000-000E-0000-0100-00004E000000}">
            <xm:f>AC12+0+MAX(COUNTIFS(Schedule!$C$2:$C$200,"PP5",Schedule!$U$2:$U$200,"PTO"),0)&gt;0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83" id="{00000000-000E-0000-0100-00004F000000}">
            <xm:f>AC12+0+MAX(COUNTIFS(Schedule!$C$2:$C$200,"PP5",Schedule!$U$2:$U$200,"PTO"),0)&lt;0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expression" priority="49" id="{00000000-000E-0000-0100-00002D000000}">
            <xm:f>AC13+0+MAX(COUNTIFS(Schedule!$C$2:$C$200,"PP6",Schedule!$U$2:$U$200,"PTO"),0)&gt;0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50" id="{00000000-000E-0000-0100-00002E000000}">
            <xm:f>AC13+0+MAX(COUNTIFS(Schedule!$C$2:$C$200,"PP6",Schedule!$U$2:$U$200,"PTO"),0)&lt;0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expression" priority="16" id="{00000000-000E-0000-0100-00000C000000}">
            <xm:f>AC14+0+MAX(COUNTIFS(Schedule!$C$2:$C$200,"PP7",Schedule!$U$2:$U$200,"PTO"),0)&gt;0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7" id="{00000000-000E-0000-0100-00000D000000}">
            <xm:f>AC14+0+MAX(COUNTIFS(Schedule!$C$2:$C$200,"PP7",Schedule!$U$2:$U$200,"PTO"),0)&lt;0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expression" priority="212" id="{00000000-000E-0000-0100-0000D0000000}">
            <xm:f>AD8+0+MAX(COUNTIFS(Schedule!$C$2:$C$200,"PP1",Schedule!$V$2:$V$200,"PTO"),0)&gt;0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3" id="{00000000-000E-0000-0100-0000D1000000}">
            <xm:f>AD8+0+MAX(COUNTIFS(Schedule!$C$2:$C$200,"PP1",Schedule!$V$2:$V$200,"PTO"),0)&lt;0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M15</xm:sqref>
        </x14:conditionalFormatting>
        <x14:conditionalFormatting xmlns:xm="http://schemas.microsoft.com/office/excel/2006/main">
          <x14:cfRule type="expression" priority="179" id="{00000000-000E-0000-0100-0000AF000000}">
            <xm:f>AD9+0+MAX(COUNTIFS(Schedule!$C$2:$C$200,"PP2",Schedule!$V$2:$V$200,"PTO"),0)&gt;0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80" id="{00000000-000E-0000-0100-0000B0000000}">
            <xm:f>AD9+0+MAX(COUNTIFS(Schedule!$C$2:$C$200,"PP2",Schedule!$V$2:$V$200,"PTO"),0)&lt;0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M16</xm:sqref>
        </x14:conditionalFormatting>
        <x14:conditionalFormatting xmlns:xm="http://schemas.microsoft.com/office/excel/2006/main">
          <x14:cfRule type="expression" priority="146" id="{00000000-000E-0000-0100-00008E000000}">
            <xm:f>AD10+0+MAX(COUNTIFS(Schedule!$C$2:$C$200,"PP3",Schedule!$V$2:$V$200,"PTO"),0)&gt;0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47" id="{00000000-000E-0000-0100-00008F000000}">
            <xm:f>AD10+0+MAX(COUNTIFS(Schedule!$C$2:$C$200,"PP3",Schedule!$V$2:$V$200,"PTO"),0)&lt;0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M17</xm:sqref>
        </x14:conditionalFormatting>
        <x14:conditionalFormatting xmlns:xm="http://schemas.microsoft.com/office/excel/2006/main">
          <x14:cfRule type="expression" priority="113" id="{00000000-000E-0000-0100-00006D000000}">
            <xm:f>AD11+0+MAX(COUNTIFS(Schedule!$C$2:$C$200,"PP4",Schedule!$V$2:$V$200,"PTO"),0)&gt;0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4" id="{00000000-000E-0000-0100-00006E000000}">
            <xm:f>AD11+0+MAX(COUNTIFS(Schedule!$C$2:$C$200,"PP4",Schedule!$V$2:$V$200,"PTO"),0)&lt;0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M18</xm:sqref>
        </x14:conditionalFormatting>
        <x14:conditionalFormatting xmlns:xm="http://schemas.microsoft.com/office/excel/2006/main">
          <x14:cfRule type="expression" priority="80" id="{00000000-000E-0000-0100-00004C000000}">
            <xm:f>AD12+0+MAX(COUNTIFS(Schedule!$C$2:$C$200,"PP5",Schedule!$V$2:$V$200,"PTO"),0)&gt;0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81" id="{00000000-000E-0000-0100-00004D000000}">
            <xm:f>AD12+0+MAX(COUNTIFS(Schedule!$C$2:$C$200,"PP5",Schedule!$V$2:$V$200,"PTO"),0)&lt;0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M19</xm:sqref>
        </x14:conditionalFormatting>
        <x14:conditionalFormatting xmlns:xm="http://schemas.microsoft.com/office/excel/2006/main">
          <x14:cfRule type="expression" priority="47" id="{00000000-000E-0000-0100-00002B000000}">
            <xm:f>AD13+0+MAX(COUNTIFS(Schedule!$C$2:$C$200,"PP6",Schedule!$V$2:$V$200,"PTO"),0)&gt;0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48" id="{00000000-000E-0000-0100-00002C000000}">
            <xm:f>AD13+0+MAX(COUNTIFS(Schedule!$C$2:$C$200,"PP6",Schedule!$V$2:$V$200,"PTO"),0)&lt;0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M20</xm:sqref>
        </x14:conditionalFormatting>
        <x14:conditionalFormatting xmlns:xm="http://schemas.microsoft.com/office/excel/2006/main">
          <x14:cfRule type="expression" priority="14" id="{00000000-000E-0000-0100-00000A000000}">
            <xm:f>AD14+0+MAX(COUNTIFS(Schedule!$C$2:$C$200,"PP7",Schedule!$V$2:$V$200,"PTO"),0)&gt;0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5" id="{00000000-000E-0000-0100-00000B000000}">
            <xm:f>AD14+0+MAX(COUNTIFS(Schedule!$C$2:$C$200,"PP7",Schedule!$V$2:$V$200,"PTO"),0)&lt;0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M21</xm:sqref>
        </x14:conditionalFormatting>
        <x14:conditionalFormatting xmlns:xm="http://schemas.microsoft.com/office/excel/2006/main">
          <x14:cfRule type="expression" priority="210" id="{00000000-000E-0000-0100-0000CE000000}">
            <xm:f>AE8+0+MAX(COUNTIFS(Schedule!$C$2:$C$200,"PP1",Schedule!$W$2:$W$200,"PTO"),0)&gt;0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11" id="{00000000-000E-0000-0100-0000CF000000}">
            <xm:f>AE8+0+MAX(COUNTIFS(Schedule!$C$2:$C$200,"PP1",Schedule!$W$2:$W$200,"PTO"),0)&lt;0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expression" priority="177" id="{00000000-000E-0000-0100-0000AD000000}">
            <xm:f>AE9+0+MAX(COUNTIFS(Schedule!$C$2:$C$200,"PP2",Schedule!$W$2:$W$200,"PTO"),0)&gt;0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78" id="{00000000-000E-0000-0100-0000AE000000}">
            <xm:f>AE9+0+MAX(COUNTIFS(Schedule!$C$2:$C$200,"PP2",Schedule!$W$2:$W$200,"PTO"),0)&lt;0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N16</xm:sqref>
        </x14:conditionalFormatting>
        <x14:conditionalFormatting xmlns:xm="http://schemas.microsoft.com/office/excel/2006/main">
          <x14:cfRule type="expression" priority="144" id="{00000000-000E-0000-0100-00008C000000}">
            <xm:f>AE10+0+MAX(COUNTIFS(Schedule!$C$2:$C$200,"PP3",Schedule!$W$2:$W$200,"PTO"),0)&gt;0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45" id="{00000000-000E-0000-0100-00008D000000}">
            <xm:f>AE10+0+MAX(COUNTIFS(Schedule!$C$2:$C$200,"PP3",Schedule!$W$2:$W$200,"PTO"),0)&lt;0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N17</xm:sqref>
        </x14:conditionalFormatting>
        <x14:conditionalFormatting xmlns:xm="http://schemas.microsoft.com/office/excel/2006/main">
          <x14:cfRule type="expression" priority="111" id="{00000000-000E-0000-0100-00006B000000}">
            <xm:f>AE11+0+MAX(COUNTIFS(Schedule!$C$2:$C$200,"PP4",Schedule!$W$2:$W$200,"PTO"),0)&gt;0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2" id="{00000000-000E-0000-0100-00006C000000}">
            <xm:f>AE11+0+MAX(COUNTIFS(Schedule!$C$2:$C$200,"PP4",Schedule!$W$2:$W$200,"PTO"),0)&lt;0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N18</xm:sqref>
        </x14:conditionalFormatting>
        <x14:conditionalFormatting xmlns:xm="http://schemas.microsoft.com/office/excel/2006/main">
          <x14:cfRule type="expression" priority="78" id="{00000000-000E-0000-0100-00004A000000}">
            <xm:f>AE12+0+MAX(COUNTIFS(Schedule!$C$2:$C$200,"PP5",Schedule!$W$2:$W$200,"PTO"),0)&gt;0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9" id="{00000000-000E-0000-0100-00004B000000}">
            <xm:f>AE12+0+MAX(COUNTIFS(Schedule!$C$2:$C$200,"PP5",Schedule!$W$2:$W$200,"PTO"),0)&lt;0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N19</xm:sqref>
        </x14:conditionalFormatting>
        <x14:conditionalFormatting xmlns:xm="http://schemas.microsoft.com/office/excel/2006/main">
          <x14:cfRule type="expression" priority="45" id="{00000000-000E-0000-0100-000029000000}">
            <xm:f>AE13+0+MAX(COUNTIFS(Schedule!$C$2:$C$200,"PP6",Schedule!$W$2:$W$200,"PTO"),0)&gt;0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46" id="{00000000-000E-0000-0100-00002A000000}">
            <xm:f>AE13+0+MAX(COUNTIFS(Schedule!$C$2:$C$200,"PP6",Schedule!$W$2:$W$200,"PTO"),0)&lt;0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N20</xm:sqref>
        </x14:conditionalFormatting>
        <x14:conditionalFormatting xmlns:xm="http://schemas.microsoft.com/office/excel/2006/main">
          <x14:cfRule type="expression" priority="12" id="{00000000-000E-0000-0100-000008000000}">
            <xm:f>AE14+0+MAX(COUNTIFS(Schedule!$C$2:$C$200,"PP7",Schedule!$W$2:$W$200,"PTO"),0)&gt;0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" id="{00000000-000E-0000-0100-000009000000}">
            <xm:f>AE14+0+MAX(COUNTIFS(Schedule!$C$2:$C$200,"PP7",Schedule!$W$2:$W$200,"PTO"),0)&lt;0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N21</xm:sqref>
        </x14:conditionalFormatting>
        <x14:conditionalFormatting xmlns:xm="http://schemas.microsoft.com/office/excel/2006/main">
          <x14:cfRule type="expression" priority="208" id="{00000000-000E-0000-0100-0000CC000000}">
            <xm:f>AF8+0+MAX(COUNTIFS(Schedule!$C$2:$C$200,"PP1",Schedule!$X$2:$X$200,"PTO"),0)&gt;0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09" id="{00000000-000E-0000-0100-0000CD000000}">
            <xm:f>AF8+0+MAX(COUNTIFS(Schedule!$C$2:$C$200,"PP1",Schedule!$X$2:$X$200,"PTO"),0)&lt;0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O15</xm:sqref>
        </x14:conditionalFormatting>
        <x14:conditionalFormatting xmlns:xm="http://schemas.microsoft.com/office/excel/2006/main">
          <x14:cfRule type="expression" priority="175" id="{00000000-000E-0000-0100-0000AB000000}">
            <xm:f>AF9+0+MAX(COUNTIFS(Schedule!$C$2:$C$200,"PP2",Schedule!$X$2:$X$200,"PTO"),0)&gt;0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76" id="{00000000-000E-0000-0100-0000AC000000}">
            <xm:f>AF9+0+MAX(COUNTIFS(Schedule!$C$2:$C$200,"PP2",Schedule!$X$2:$X$200,"PTO"),0)&lt;0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O16</xm:sqref>
        </x14:conditionalFormatting>
        <x14:conditionalFormatting xmlns:xm="http://schemas.microsoft.com/office/excel/2006/main">
          <x14:cfRule type="expression" priority="142" id="{00000000-000E-0000-0100-00008A000000}">
            <xm:f>AF10+0+MAX(COUNTIFS(Schedule!$C$2:$C$200,"PP3",Schedule!$X$2:$X$200,"PTO"),0)&gt;0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43" id="{00000000-000E-0000-0100-00008B000000}">
            <xm:f>AF10+0+MAX(COUNTIFS(Schedule!$C$2:$C$200,"PP3",Schedule!$X$2:$X$200,"PTO"),0)&lt;0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O17</xm:sqref>
        </x14:conditionalFormatting>
        <x14:conditionalFormatting xmlns:xm="http://schemas.microsoft.com/office/excel/2006/main">
          <x14:cfRule type="expression" priority="109" id="{00000000-000E-0000-0100-000069000000}">
            <xm:f>AF11+0+MAX(COUNTIFS(Schedule!$C$2:$C$200,"PP4",Schedule!$X$2:$X$200,"PTO"),0)&gt;0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0" id="{00000000-000E-0000-0100-00006A000000}">
            <xm:f>AF11+0+MAX(COUNTIFS(Schedule!$C$2:$C$200,"PP4",Schedule!$X$2:$X$200,"PTO"),0)&lt;0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O18</xm:sqref>
        </x14:conditionalFormatting>
        <x14:conditionalFormatting xmlns:xm="http://schemas.microsoft.com/office/excel/2006/main">
          <x14:cfRule type="expression" priority="76" id="{00000000-000E-0000-0100-000048000000}">
            <xm:f>AF12+0+MAX(COUNTIFS(Schedule!$C$2:$C$200,"PP5",Schedule!$X$2:$X$200,"PTO"),0)&gt;0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7" id="{00000000-000E-0000-0100-000049000000}">
            <xm:f>AF12+0+MAX(COUNTIFS(Schedule!$C$2:$C$200,"PP5",Schedule!$X$2:$X$200,"PTO"),0)&lt;0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O19</xm:sqref>
        </x14:conditionalFormatting>
        <x14:conditionalFormatting xmlns:xm="http://schemas.microsoft.com/office/excel/2006/main">
          <x14:cfRule type="expression" priority="43" id="{00000000-000E-0000-0100-000027000000}">
            <xm:f>AF13+0+MAX(COUNTIFS(Schedule!$C$2:$C$200,"PP6",Schedule!$X$2:$X$200,"PTO"),0)&gt;0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44" id="{00000000-000E-0000-0100-000028000000}">
            <xm:f>AF13+0+MAX(COUNTIFS(Schedule!$C$2:$C$200,"PP6",Schedule!$X$2:$X$200,"PTO"),0)&lt;0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O20</xm:sqref>
        </x14:conditionalFormatting>
        <x14:conditionalFormatting xmlns:xm="http://schemas.microsoft.com/office/excel/2006/main">
          <x14:cfRule type="expression" priority="10" id="{00000000-000E-0000-0100-000006000000}">
            <xm:f>AF14+0+MAX(COUNTIFS(Schedule!$C$2:$C$200,"PP7",Schedule!$X$2:$X$200,"PTO"),0)&gt;0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1" id="{00000000-000E-0000-0100-000007000000}">
            <xm:f>AF14+0+MAX(COUNTIFS(Schedule!$C$2:$C$200,"PP7",Schedule!$X$2:$X$200,"PTO"),0)&lt;0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O21</xm:sqref>
        </x14:conditionalFormatting>
        <x14:conditionalFormatting xmlns:xm="http://schemas.microsoft.com/office/excel/2006/main">
          <x14:cfRule type="expression" priority="206" id="{00000000-000E-0000-0100-0000CA000000}">
            <xm:f>AG8+0+MAX(COUNTIFS(Schedule!$C$2:$C$200,"PP1",Schedule!$Y$2:$Y$200,"PTO"),0)&gt;0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07" id="{00000000-000E-0000-0100-0000CB000000}">
            <xm:f>AG8+0+MAX(COUNTIFS(Schedule!$C$2:$C$200,"PP1",Schedule!$Y$2:$Y$200,"PTO"),0)&lt;0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P15</xm:sqref>
        </x14:conditionalFormatting>
        <x14:conditionalFormatting xmlns:xm="http://schemas.microsoft.com/office/excel/2006/main">
          <x14:cfRule type="expression" priority="173" id="{00000000-000E-0000-0100-0000A9000000}">
            <xm:f>AG9+0+MAX(COUNTIFS(Schedule!$C$2:$C$200,"PP2",Schedule!$Y$2:$Y$200,"PTO"),0)&gt;0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74" id="{00000000-000E-0000-0100-0000AA000000}">
            <xm:f>AG9+0+MAX(COUNTIFS(Schedule!$C$2:$C$200,"PP2",Schedule!$Y$2:$Y$200,"PTO"),0)&lt;0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P16</xm:sqref>
        </x14:conditionalFormatting>
        <x14:conditionalFormatting xmlns:xm="http://schemas.microsoft.com/office/excel/2006/main">
          <x14:cfRule type="expression" priority="140" id="{00000000-000E-0000-0100-000088000000}">
            <xm:f>AG10+0+MAX(COUNTIFS(Schedule!$C$2:$C$200,"PP3",Schedule!$Y$2:$Y$200,"PTO"),0)&gt;0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41" id="{00000000-000E-0000-0100-000089000000}">
            <xm:f>AG10+0+MAX(COUNTIFS(Schedule!$C$2:$C$200,"PP3",Schedule!$Y$2:$Y$200,"PTO"),0)&lt;0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P17</xm:sqref>
        </x14:conditionalFormatting>
        <x14:conditionalFormatting xmlns:xm="http://schemas.microsoft.com/office/excel/2006/main">
          <x14:cfRule type="expression" priority="107" id="{00000000-000E-0000-0100-000067000000}">
            <xm:f>AG11+0+MAX(COUNTIFS(Schedule!$C$2:$C$200,"PP4",Schedule!$Y$2:$Y$200,"PTO"),0)&gt;0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08" id="{00000000-000E-0000-0100-000068000000}">
            <xm:f>AG11+0+MAX(COUNTIFS(Schedule!$C$2:$C$200,"PP4",Schedule!$Y$2:$Y$200,"PTO"),0)&lt;0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P18</xm:sqref>
        </x14:conditionalFormatting>
        <x14:conditionalFormatting xmlns:xm="http://schemas.microsoft.com/office/excel/2006/main">
          <x14:cfRule type="expression" priority="74" id="{00000000-000E-0000-0100-000046000000}">
            <xm:f>AG12+0+MAX(COUNTIFS(Schedule!$C$2:$C$200,"PP5",Schedule!$Y$2:$Y$200,"PTO"),0)&gt;0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5" id="{00000000-000E-0000-0100-000047000000}">
            <xm:f>AG12+0+MAX(COUNTIFS(Schedule!$C$2:$C$200,"PP5",Schedule!$Y$2:$Y$200,"PTO"),0)&lt;0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P19</xm:sqref>
        </x14:conditionalFormatting>
        <x14:conditionalFormatting xmlns:xm="http://schemas.microsoft.com/office/excel/2006/main">
          <x14:cfRule type="expression" priority="41" id="{00000000-000E-0000-0100-000025000000}">
            <xm:f>AG13+0+MAX(COUNTIFS(Schedule!$C$2:$C$200,"PP6",Schedule!$Y$2:$Y$200,"PTO"),0)&gt;0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42" id="{00000000-000E-0000-0100-000026000000}">
            <xm:f>AG13+0+MAX(COUNTIFS(Schedule!$C$2:$C$200,"PP6",Schedule!$Y$2:$Y$200,"PTO"),0)&lt;0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P20</xm:sqref>
        </x14:conditionalFormatting>
        <x14:conditionalFormatting xmlns:xm="http://schemas.microsoft.com/office/excel/2006/main">
          <x14:cfRule type="expression" priority="8" id="{00000000-000E-0000-0100-000004000000}">
            <xm:f>AG14+0+MAX(COUNTIFS(Schedule!$C$2:$C$200,"PP7",Schedule!$Y$2:$Y$200,"PTO"),0)&gt;0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9" id="{00000000-000E-0000-0100-000005000000}">
            <xm:f>AG14+0+MAX(COUNTIFS(Schedule!$C$2:$C$200,"PP7",Schedule!$Y$2:$Y$200,"PTO"),0)&lt;0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P21</xm:sqref>
        </x14:conditionalFormatting>
        <x14:conditionalFormatting xmlns:xm="http://schemas.microsoft.com/office/excel/2006/main">
          <x14:cfRule type="expression" priority="204" id="{00000000-000E-0000-0100-0000C8000000}">
            <xm:f>AH8+0+MAX(COUNTIFS(Schedule!$C$2:$C$200,"PP1",Schedule!$Z$2:$Z$200,"PTO"),0)&gt;0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05" id="{00000000-000E-0000-0100-0000C9000000}">
            <xm:f>AH8+0+MAX(COUNTIFS(Schedule!$C$2:$C$200,"PP1",Schedule!$Z$2:$Z$200,"PTO"),0)&lt;0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Q15</xm:sqref>
        </x14:conditionalFormatting>
        <x14:conditionalFormatting xmlns:xm="http://schemas.microsoft.com/office/excel/2006/main">
          <x14:cfRule type="expression" priority="171" id="{00000000-000E-0000-0100-0000A7000000}">
            <xm:f>AH9+0+MAX(COUNTIFS(Schedule!$C$2:$C$200,"PP2",Schedule!$Z$2:$Z$200,"PTO"),0)&gt;0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72" id="{00000000-000E-0000-0100-0000A8000000}">
            <xm:f>AH9+0+MAX(COUNTIFS(Schedule!$C$2:$C$200,"PP2",Schedule!$Z$2:$Z$200,"PTO"),0)&lt;0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Q16</xm:sqref>
        </x14:conditionalFormatting>
        <x14:conditionalFormatting xmlns:xm="http://schemas.microsoft.com/office/excel/2006/main">
          <x14:cfRule type="expression" priority="138" id="{00000000-000E-0000-0100-000086000000}">
            <xm:f>AH10+0+MAX(COUNTIFS(Schedule!$C$2:$C$200,"PP3",Schedule!$Z$2:$Z$200,"PTO"),0)&gt;0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39" id="{00000000-000E-0000-0100-000087000000}">
            <xm:f>AH10+0+MAX(COUNTIFS(Schedule!$C$2:$C$200,"PP3",Schedule!$Z$2:$Z$200,"PTO"),0)&lt;0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Q17</xm:sqref>
        </x14:conditionalFormatting>
        <x14:conditionalFormatting xmlns:xm="http://schemas.microsoft.com/office/excel/2006/main">
          <x14:cfRule type="expression" priority="105" id="{00000000-000E-0000-0100-000065000000}">
            <xm:f>AH11+0+MAX(COUNTIFS(Schedule!$C$2:$C$200,"PP4",Schedule!$Z$2:$Z$200,"PTO"),0)&gt;0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106" id="{00000000-000E-0000-0100-000066000000}">
            <xm:f>AH11+0+MAX(COUNTIFS(Schedule!$C$2:$C$200,"PP4",Schedule!$Z$2:$Z$200,"PTO"),0)&lt;0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Q18</xm:sqref>
        </x14:conditionalFormatting>
        <x14:conditionalFormatting xmlns:xm="http://schemas.microsoft.com/office/excel/2006/main">
          <x14:cfRule type="expression" priority="72" id="{00000000-000E-0000-0100-000044000000}">
            <xm:f>AH12+0+MAX(COUNTIFS(Schedule!$C$2:$C$200,"PP5",Schedule!$Z$2:$Z$200,"PTO"),0)&gt;0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3" id="{00000000-000E-0000-0100-000045000000}">
            <xm:f>AH12+0+MAX(COUNTIFS(Schedule!$C$2:$C$200,"PP5",Schedule!$Z$2:$Z$200,"PTO"),0)&lt;0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Q19</xm:sqref>
        </x14:conditionalFormatting>
        <x14:conditionalFormatting xmlns:xm="http://schemas.microsoft.com/office/excel/2006/main">
          <x14:cfRule type="expression" priority="39" id="{00000000-000E-0000-0100-000023000000}">
            <xm:f>AH13+0+MAX(COUNTIFS(Schedule!$C$2:$C$200,"PP6",Schedule!$Z$2:$Z$200,"PTO"),0)&gt;0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40" id="{00000000-000E-0000-0100-000024000000}">
            <xm:f>AH13+0+MAX(COUNTIFS(Schedule!$C$2:$C$200,"PP6",Schedule!$Z$2:$Z$200,"PTO"),0)&lt;0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Q20</xm:sqref>
        </x14:conditionalFormatting>
        <x14:conditionalFormatting xmlns:xm="http://schemas.microsoft.com/office/excel/2006/main">
          <x14:cfRule type="expression" priority="6" id="{00000000-000E-0000-0100-000002000000}">
            <xm:f>AH14+0+MAX(COUNTIFS(Schedule!$C$2:$C$200,"PP7",Schedule!$Z$2:$Z$200,"PTO"),0)&gt;0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7" id="{00000000-000E-0000-0100-000003000000}">
            <xm:f>AH14+0+MAX(COUNTIFS(Schedule!$C$2:$C$200,"PP7",Schedule!$Z$2:$Z$200,"PTO"),0)&lt;0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Q21</xm:sqref>
        </x14:conditionalFormatting>
        <x14:conditionalFormatting xmlns:xm="http://schemas.microsoft.com/office/excel/2006/main">
          <x14:cfRule type="expression" priority="1" id="{AEE007AD-07A8-474A-9553-D3B9B0A465B3}">
            <xm:f>X9+0+MAX(COUNTIFS(Schedule!$C$2:$C$200,"PP3",Schedule!$Q$2:$Q$200,"PTO"),0)&gt;6</xm:f>
            <x14:dxf>
              <font>
                <b/>
                <sz val="11"/>
                <color rgb="FF0066CC"/>
                <name val="Calibri"/>
              </font>
              <fill>
                <patternFill patternType="solid">
                  <fgColor rgb="FFD6E4F3"/>
                </patternFill>
              </fill>
            </x14:dxf>
          </x14:cfRule>
          <x14:cfRule type="expression" priority="2" id="{46B70CC9-8B09-426F-A4AD-5B9AA5ED8B61}">
            <xm:f>X9+0+MAX(COUNTIFS(Schedule!$C$2:$C$200,"PP3",Schedule!$Q$2:$Q$200,"PTO"),0)&lt;6</xm:f>
            <x14:dxf>
              <font>
                <b/>
                <sz val="11"/>
                <color rgb="FF9C0006"/>
                <name val="Calibri"/>
              </font>
              <fill>
                <patternFill patternType="solid">
                  <fgColor rgb="FFFFC7CE"/>
                </patternFill>
              </fill>
            </x14:dxf>
          </x14:cfRule>
          <xm:sqref>G16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7"/>
  <sheetViews>
    <sheetView tabSelected="1" workbookViewId="0">
      <pane ySplit="2" topLeftCell="A3" activePane="bottomLeft" state="frozen"/>
      <selection pane="bottomLeft" activeCell="D84" sqref="D84"/>
    </sheetView>
  </sheetViews>
  <sheetFormatPr defaultColWidth="10.90625" defaultRowHeight="14.5" x14ac:dyDescent="0.35"/>
  <cols>
    <col min="1" max="1" width="14.7265625" customWidth="1"/>
    <col min="2" max="3" width="7.7265625" customWidth="1"/>
    <col min="4" max="4" width="16.7265625" customWidth="1"/>
    <col min="5" max="5" width="14.7265625" customWidth="1"/>
    <col min="6" max="7" width="16.7265625" customWidth="1"/>
    <col min="8" max="10" width="14.7265625" customWidth="1"/>
    <col min="11" max="26" width="13.7265625" customWidth="1"/>
    <col min="27" max="27" width="20.7265625" customWidth="1"/>
  </cols>
  <sheetData>
    <row r="1" spans="1:27" ht="18" customHeight="1" x14ac:dyDescent="0.35">
      <c r="A1" s="32"/>
      <c r="B1" s="32"/>
      <c r="C1" s="32"/>
      <c r="D1" s="53" t="s">
        <v>89</v>
      </c>
      <c r="E1" s="54"/>
      <c r="F1" s="54"/>
      <c r="G1" s="55"/>
      <c r="H1" s="56" t="s">
        <v>90</v>
      </c>
      <c r="I1" s="57"/>
      <c r="J1" s="58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20" customHeight="1" thickBot="1" x14ac:dyDescent="0.4">
      <c r="A2" s="116" t="s">
        <v>91</v>
      </c>
      <c r="B2" s="116" t="s">
        <v>92</v>
      </c>
      <c r="C2" s="116" t="s">
        <v>93</v>
      </c>
      <c r="D2" s="117" t="s">
        <v>94</v>
      </c>
      <c r="E2" s="116" t="s">
        <v>94</v>
      </c>
      <c r="F2" s="116" t="s">
        <v>94</v>
      </c>
      <c r="G2" s="118" t="s">
        <v>95</v>
      </c>
      <c r="H2" s="117" t="s">
        <v>96</v>
      </c>
      <c r="I2" s="116" t="s">
        <v>96</v>
      </c>
      <c r="J2" s="118" t="s">
        <v>97</v>
      </c>
      <c r="K2" s="116" t="s">
        <v>2</v>
      </c>
      <c r="L2" s="116" t="s">
        <v>42</v>
      </c>
      <c r="M2" s="116" t="s">
        <v>43</v>
      </c>
      <c r="N2" s="116" t="s">
        <v>44</v>
      </c>
      <c r="O2" s="116" t="s">
        <v>45</v>
      </c>
      <c r="P2" s="116" t="s">
        <v>46</v>
      </c>
      <c r="Q2" s="116" t="s">
        <v>47</v>
      </c>
      <c r="R2" s="116" t="s">
        <v>48</v>
      </c>
      <c r="S2" s="116" t="s">
        <v>49</v>
      </c>
      <c r="T2" s="116" t="s">
        <v>50</v>
      </c>
      <c r="U2" s="116" t="s">
        <v>51</v>
      </c>
      <c r="V2" s="116" t="s">
        <v>52</v>
      </c>
      <c r="W2" s="116" t="s">
        <v>53</v>
      </c>
      <c r="X2" s="116" t="s">
        <v>54</v>
      </c>
      <c r="Y2" s="116" t="s">
        <v>55</v>
      </c>
      <c r="Z2" s="116" t="s">
        <v>56</v>
      </c>
      <c r="AA2" s="116" t="s">
        <v>98</v>
      </c>
    </row>
    <row r="3" spans="1:27" ht="16" customHeight="1" x14ac:dyDescent="0.35">
      <c r="A3" s="119" t="s">
        <v>99</v>
      </c>
      <c r="B3" s="120"/>
      <c r="C3" s="120"/>
      <c r="D3" s="121"/>
      <c r="E3" s="122"/>
      <c r="F3" s="122"/>
      <c r="G3" s="123"/>
      <c r="H3" s="124"/>
      <c r="I3" s="122"/>
      <c r="J3" s="123"/>
      <c r="K3" s="125" t="s">
        <v>100</v>
      </c>
      <c r="L3" s="125" t="s">
        <v>101</v>
      </c>
      <c r="M3" s="125" t="s">
        <v>100</v>
      </c>
      <c r="N3" s="125" t="s">
        <v>102</v>
      </c>
      <c r="O3" s="125" t="s">
        <v>101</v>
      </c>
      <c r="P3" s="125" t="s">
        <v>102</v>
      </c>
      <c r="Q3" s="125" t="s">
        <v>102</v>
      </c>
      <c r="R3" s="125" t="s">
        <v>100</v>
      </c>
      <c r="S3" s="125" t="s">
        <v>103</v>
      </c>
      <c r="T3" s="125" t="s">
        <v>100</v>
      </c>
      <c r="U3" s="125" t="s">
        <v>103</v>
      </c>
      <c r="V3" s="125" t="s">
        <v>103</v>
      </c>
      <c r="W3" s="125" t="s">
        <v>103</v>
      </c>
      <c r="X3" s="125" t="s">
        <v>103</v>
      </c>
      <c r="Y3" s="125" t="s">
        <v>103</v>
      </c>
      <c r="Z3" s="125" t="s">
        <v>103</v>
      </c>
      <c r="AA3" s="126"/>
    </row>
    <row r="4" spans="1:27" ht="18" customHeight="1" x14ac:dyDescent="0.35">
      <c r="A4" s="127" t="s">
        <v>104</v>
      </c>
      <c r="B4" s="114" t="s">
        <v>28</v>
      </c>
      <c r="C4" s="114" t="s">
        <v>11</v>
      </c>
      <c r="D4" s="61" t="s">
        <v>48</v>
      </c>
      <c r="E4" s="62" t="s">
        <v>43</v>
      </c>
      <c r="F4" s="63" t="s">
        <v>105</v>
      </c>
      <c r="G4" s="64" t="s">
        <v>46</v>
      </c>
      <c r="H4" s="41"/>
      <c r="I4" s="35"/>
      <c r="J4" s="43"/>
      <c r="K4" s="36" t="str">
        <f>IF(OR($D4=K$2,$E4=K$2,$F4=K$2),"Day",IF($G4=K$2,"Night",IF(OR($H4=K$2,$I4=K$2),"FC3",IF($J4=K$2,"FC3 Night",""))))</f>
        <v/>
      </c>
      <c r="L4" s="36" t="str">
        <f>IF(OR($D4=L$2,$E4=L$2,$F4=L$2),"Day",IF($G4=L$2,"Night",IF(OR($H4=L$2,$I4=L$2),"FC3",IF($J4=L$2,"FC3 Night",IF(AND(COUNTA($D4:$G4)&lt;4,Summary!$T$8&lt;Summary!$T$1),"Yellow","")))))</f>
        <v/>
      </c>
      <c r="M4" s="36" t="str">
        <f t="shared" ref="M4:R7" si="0">IF(OR($D4=M$2,$E4=M$2,$F4=M$2),"Day",IF($G4=M$2,"Night",IF(OR($H4=M$2,$I4=M$2),"FC3",IF($J4=M$2,"FC3 Night",""))))</f>
        <v>Day</v>
      </c>
      <c r="N4" s="36" t="str">
        <f t="shared" si="0"/>
        <v/>
      </c>
      <c r="O4" s="36" t="str">
        <f t="shared" si="0"/>
        <v/>
      </c>
      <c r="P4" s="36" t="str">
        <f t="shared" si="0"/>
        <v>Night</v>
      </c>
      <c r="Q4" s="36" t="str">
        <f t="shared" si="0"/>
        <v/>
      </c>
      <c r="R4" s="36" t="str">
        <f t="shared" si="0"/>
        <v>Day</v>
      </c>
      <c r="S4" s="36" t="str">
        <f t="shared" ref="S4:S17" si="1">IF(OR($D4=S$2,$E4=S$2,$F4=S$2),"Day",IF($G4=S$2,"Night",IF(OR($H4=S$2,$I4=S$2),"FC3",IF($J4=S$2,"FC3 Night","OFF"))))</f>
        <v>OFF</v>
      </c>
      <c r="T4" s="36" t="str">
        <f t="shared" ref="T4:Z6" si="2">IF(OR($D4=T$2,$E4=T$2,$F4=T$2),"Day",IF($G4=T$2,"Night",IF(OR($H4=T$2,$I4=T$2),"FC3",IF($J4=T$2,"FC3 Night",""))))</f>
        <v/>
      </c>
      <c r="U4" s="36" t="str">
        <f t="shared" si="2"/>
        <v/>
      </c>
      <c r="V4" s="36" t="str">
        <f t="shared" si="2"/>
        <v/>
      </c>
      <c r="W4" s="36" t="str">
        <f t="shared" si="2"/>
        <v/>
      </c>
      <c r="X4" s="36" t="str">
        <f t="shared" si="2"/>
        <v/>
      </c>
      <c r="Y4" s="36" t="str">
        <f t="shared" si="2"/>
        <v/>
      </c>
      <c r="Z4" s="36" t="str">
        <f t="shared" si="2"/>
        <v/>
      </c>
      <c r="AA4" s="128">
        <v>46321</v>
      </c>
    </row>
    <row r="5" spans="1:27" ht="18" customHeight="1" x14ac:dyDescent="0.35">
      <c r="A5" s="127" t="s">
        <v>106</v>
      </c>
      <c r="B5" s="114" t="s">
        <v>29</v>
      </c>
      <c r="C5" s="114" t="s">
        <v>11</v>
      </c>
      <c r="D5" s="61" t="s">
        <v>45</v>
      </c>
      <c r="E5" s="62" t="s">
        <v>2</v>
      </c>
      <c r="F5" s="62" t="s">
        <v>43</v>
      </c>
      <c r="G5" s="64" t="s">
        <v>46</v>
      </c>
      <c r="H5" s="41"/>
      <c r="I5" s="35"/>
      <c r="J5" s="43"/>
      <c r="K5" s="36" t="str">
        <f>IF(OR($D5=K$2,$E5=K$2,$F5=K$2),"Day",IF($G5=K$2,"Night",IF(OR($H5=K$2,$I5=K$2),"FC3",IF($J5=K$2,"FC3 Night",""))))</f>
        <v>Day</v>
      </c>
      <c r="L5" s="36" t="str">
        <f>IF(OR($D5=L$2,$E5=L$2,$F5=L$2),"Day",IF($G5=L$2,"Night",IF(OR($H5=L$2,$I5=L$2),"FC3",IF($J5=L$2,"FC3 Night","OFF"))))</f>
        <v>OFF</v>
      </c>
      <c r="M5" s="36" t="str">
        <f t="shared" si="0"/>
        <v>Day</v>
      </c>
      <c r="N5" s="36" t="str">
        <f t="shared" si="0"/>
        <v/>
      </c>
      <c r="O5" s="36" t="str">
        <f t="shared" si="0"/>
        <v>Day</v>
      </c>
      <c r="P5" s="36" t="str">
        <f t="shared" si="0"/>
        <v>Night</v>
      </c>
      <c r="Q5" s="36" t="str">
        <f t="shared" si="0"/>
        <v/>
      </c>
      <c r="R5" s="36" t="str">
        <f t="shared" si="0"/>
        <v/>
      </c>
      <c r="S5" s="36" t="str">
        <f t="shared" si="1"/>
        <v>OFF</v>
      </c>
      <c r="T5" s="36" t="str">
        <f t="shared" si="2"/>
        <v/>
      </c>
      <c r="U5" s="36" t="str">
        <f t="shared" si="2"/>
        <v/>
      </c>
      <c r="V5" s="36" t="str">
        <f t="shared" si="2"/>
        <v/>
      </c>
      <c r="W5" s="36" t="str">
        <f t="shared" si="2"/>
        <v/>
      </c>
      <c r="X5" s="36" t="str">
        <f t="shared" si="2"/>
        <v/>
      </c>
      <c r="Y5" s="36" t="str">
        <f t="shared" si="2"/>
        <v/>
      </c>
      <c r="Z5" s="36" t="str">
        <f t="shared" si="2"/>
        <v/>
      </c>
      <c r="AA5" s="128">
        <v>46322</v>
      </c>
    </row>
    <row r="6" spans="1:27" ht="18" customHeight="1" x14ac:dyDescent="0.35">
      <c r="A6" s="127" t="s">
        <v>107</v>
      </c>
      <c r="B6" s="114" t="s">
        <v>30</v>
      </c>
      <c r="C6" s="114" t="s">
        <v>11</v>
      </c>
      <c r="D6" s="61" t="s">
        <v>2</v>
      </c>
      <c r="E6" s="62" t="s">
        <v>50</v>
      </c>
      <c r="F6" s="62" t="s">
        <v>45</v>
      </c>
      <c r="G6" s="64" t="s">
        <v>46</v>
      </c>
      <c r="H6" s="41"/>
      <c r="I6" s="35"/>
      <c r="J6" s="43"/>
      <c r="K6" s="36" t="str">
        <f>IF(OR($D6=K$2,$E6=K$2,$F6=K$2),"Day",IF($G6=K$2,"Night",IF(OR($H6=K$2,$I6=K$2),"FC3",IF($J6=K$2,"FC3 Night",""))))</f>
        <v>Day</v>
      </c>
      <c r="L6" s="36" t="str">
        <f>IF(OR($D6=L$2,$E6=L$2,$F6=L$2),"Day",IF($G6=L$2,"Night",IF(OR($H6=L$2,$I6=L$2),"FC3",IF($J6=L$2,"FC3 Night","OFF"))))</f>
        <v>OFF</v>
      </c>
      <c r="M6" s="36" t="str">
        <f t="shared" si="0"/>
        <v/>
      </c>
      <c r="N6" s="36" t="str">
        <f t="shared" si="0"/>
        <v/>
      </c>
      <c r="O6" s="36" t="str">
        <f t="shared" si="0"/>
        <v>Day</v>
      </c>
      <c r="P6" s="36" t="str">
        <f t="shared" si="0"/>
        <v>Night</v>
      </c>
      <c r="Q6" s="36" t="str">
        <f t="shared" si="0"/>
        <v/>
      </c>
      <c r="R6" s="36" t="str">
        <f t="shared" si="0"/>
        <v/>
      </c>
      <c r="S6" s="36" t="str">
        <f t="shared" si="1"/>
        <v>OFF</v>
      </c>
      <c r="T6" s="36" t="str">
        <f t="shared" si="2"/>
        <v>Day</v>
      </c>
      <c r="U6" s="36" t="str">
        <f t="shared" si="2"/>
        <v/>
      </c>
      <c r="V6" s="36" t="str">
        <f t="shared" si="2"/>
        <v/>
      </c>
      <c r="W6" s="36" t="str">
        <f t="shared" si="2"/>
        <v/>
      </c>
      <c r="X6" s="36" t="str">
        <f t="shared" si="2"/>
        <v/>
      </c>
      <c r="Y6" s="36" t="str">
        <f t="shared" si="2"/>
        <v/>
      </c>
      <c r="Z6" s="36" t="str">
        <f t="shared" si="2"/>
        <v/>
      </c>
      <c r="AA6" s="128">
        <v>46323</v>
      </c>
    </row>
    <row r="7" spans="1:27" ht="18" customHeight="1" x14ac:dyDescent="0.35">
      <c r="A7" s="127" t="s">
        <v>108</v>
      </c>
      <c r="B7" s="114" t="s">
        <v>31</v>
      </c>
      <c r="C7" s="114" t="s">
        <v>11</v>
      </c>
      <c r="D7" s="61" t="s">
        <v>44</v>
      </c>
      <c r="E7" s="62" t="s">
        <v>2</v>
      </c>
      <c r="F7" s="62" t="s">
        <v>42</v>
      </c>
      <c r="G7" s="65" t="s">
        <v>105</v>
      </c>
      <c r="H7" s="41"/>
      <c r="I7" s="35"/>
      <c r="J7" s="43"/>
      <c r="K7" s="36" t="str">
        <f>IF(OR($D7=K$2,$E7=K$2,$F7=K$2),"Day",IF($G7=K$2,"Night",IF(OR($H7=K$2,$I7=K$2),"FC3",IF($J7=K$2,"FC3 Night",""))))</f>
        <v>Day</v>
      </c>
      <c r="L7" s="36" t="str">
        <f>IF(OR($D7=L$2,$E7=L$2,$F7=L$2),"Day",IF($G7=L$2,"Night",IF(OR($H7=L$2,$I7=L$2),"FC3",IF($J7=L$2,"FC3 Night",""))))</f>
        <v>Day</v>
      </c>
      <c r="M7" s="36" t="str">
        <f t="shared" si="0"/>
        <v/>
      </c>
      <c r="N7" s="36" t="str">
        <f t="shared" si="0"/>
        <v>Day</v>
      </c>
      <c r="O7" s="36" t="str">
        <f t="shared" si="0"/>
        <v/>
      </c>
      <c r="P7" s="36" t="str">
        <f t="shared" si="0"/>
        <v/>
      </c>
      <c r="Q7" s="36" t="str">
        <f t="shared" si="0"/>
        <v/>
      </c>
      <c r="R7" s="36" t="str">
        <f t="shared" si="0"/>
        <v/>
      </c>
      <c r="S7" s="36" t="str">
        <f t="shared" si="1"/>
        <v>OFF</v>
      </c>
      <c r="T7" s="36" t="str">
        <f>IF(OR($D7=T$2,$E7=T$2,$F7=T$2),"Day",IF($G7=T$2,"Night",IF(OR($H7=T$2,$I7=T$2),"FC3",IF($J7=T$2,"FC3 Night","OFF"))))</f>
        <v>OFF</v>
      </c>
      <c r="U7" s="36" t="str">
        <f t="shared" ref="U7:Z17" si="3">IF(OR($D7=U$2,$E7=U$2,$F7=U$2),"Day",IF($G7=U$2,"Night",IF(OR($H7=U$2,$I7=U$2),"FC3",IF($J7=U$2,"FC3 Night",""))))</f>
        <v/>
      </c>
      <c r="V7" s="36" t="str">
        <f t="shared" si="3"/>
        <v/>
      </c>
      <c r="W7" s="36" t="str">
        <f t="shared" si="3"/>
        <v/>
      </c>
      <c r="X7" s="36" t="str">
        <f t="shared" si="3"/>
        <v/>
      </c>
      <c r="Y7" s="36" t="str">
        <f t="shared" si="3"/>
        <v/>
      </c>
      <c r="Z7" s="36" t="str">
        <f t="shared" si="3"/>
        <v/>
      </c>
      <c r="AA7" s="128">
        <v>46324</v>
      </c>
    </row>
    <row r="8" spans="1:27" ht="18" customHeight="1" x14ac:dyDescent="0.35">
      <c r="A8" s="127" t="s">
        <v>109</v>
      </c>
      <c r="B8" s="114" t="s">
        <v>32</v>
      </c>
      <c r="C8" s="114" t="s">
        <v>11</v>
      </c>
      <c r="D8" s="61" t="s">
        <v>42</v>
      </c>
      <c r="E8" s="62" t="s">
        <v>44</v>
      </c>
      <c r="F8" s="62" t="s">
        <v>48</v>
      </c>
      <c r="G8" s="64" t="s">
        <v>47</v>
      </c>
      <c r="H8" s="41"/>
      <c r="I8" s="35"/>
      <c r="J8" s="43"/>
      <c r="K8" s="36" t="str">
        <f>IF(OR($D8=K$2,$E8=K$2,$F8=K$2),"Day",IF($G8=K$2,"Night",IF(OR($H8=K$2,$I8=K$2),"FC3",IF($J8=K$2,"FC3 Night",""))))</f>
        <v/>
      </c>
      <c r="L8" s="36" t="str">
        <f>IF(OR($D8=L$2,$E8=L$2,$F8=L$2),"Day",IF($G8=L$2,"Night",IF(OR($H8=L$2,$I8=L$2),"FC3",IF($J8=L$2,"FC3 Night",""))))</f>
        <v>Day</v>
      </c>
      <c r="M8" s="36" t="str">
        <f>IF(OR($D8=M$2,$E8=M$2,$F8=M$2),"Day",IF($G8=M$2,"Night",IF(OR($H8=M$2,$I8=M$2),"FC3",IF($J8=M$2,"FC3 Night",IF(AND(COUNTA($D8:$G8)&lt;4,Summary!$U$8&lt;Summary!$U$1),"Yellow","")))))</f>
        <v/>
      </c>
      <c r="N8" s="36" t="str">
        <f>IF(OR($D8=N$2,$E8=N$2,$F8=N$2),"Day",IF($G8=N$2,"Night",IF(OR($H8=N$2,$I8=N$2),"FC3",IF($J8=N$2,"FC3 Night",""))))</f>
        <v>Day</v>
      </c>
      <c r="O8" s="36" t="str">
        <f>IF(OR($D8=O$2,$E8=O$2,$F8=O$2),"Day",IF($G8=O$2,"Night",IF(OR($H8=O$2,$I8=O$2),"FC3",IF($J8=O$2,"FC3 Night","OFF"))))</f>
        <v>OFF</v>
      </c>
      <c r="P8" s="36" t="str">
        <f>IF(OR($D8=P$2,$E8=P$2,$F8=P$2),"Day",IF($G8=P$2,"Night",IF(OR($H8=P$2,$I8=P$2),"FC3",IF($J8=P$2,"FC3 Night",""))))</f>
        <v/>
      </c>
      <c r="Q8" s="36" t="str">
        <f>IF(OR($D8=Q$2,$E8=Q$2,$F8=Q$2),"Day",IF($G8=Q$2,"Night",IF(OR($H8=Q$2,$I8=Q$2),"FC3",IF($J8=Q$2,"FC3 Night",""))))</f>
        <v>Night</v>
      </c>
      <c r="R8" s="36" t="str">
        <f>IF(OR($D8=R$2,$E8=R$2,$F8=R$2),"Day",IF($G8=R$2,"Night",IF(OR($H8=R$2,$I8=R$2),"FC3",IF($J8=R$2,"FC3 Night",""))))</f>
        <v>Day</v>
      </c>
      <c r="S8" s="36" t="str">
        <f t="shared" si="1"/>
        <v>OFF</v>
      </c>
      <c r="T8" s="36" t="str">
        <f>IF(OR($D8=T$2,$E8=T$2,$F8=T$2),"Day",IF($G8=T$2,"Night",IF(OR($H8=T$2,$I8=T$2),"FC3",IF($J8=T$2,"FC3 Night","OFF"))))</f>
        <v>OFF</v>
      </c>
      <c r="U8" s="36" t="str">
        <f t="shared" si="3"/>
        <v/>
      </c>
      <c r="V8" s="36" t="str">
        <f t="shared" si="3"/>
        <v/>
      </c>
      <c r="W8" s="36" t="str">
        <f t="shared" si="3"/>
        <v/>
      </c>
      <c r="X8" s="36" t="str">
        <f t="shared" si="3"/>
        <v/>
      </c>
      <c r="Y8" s="36" t="str">
        <f t="shared" si="3"/>
        <v/>
      </c>
      <c r="Z8" s="36" t="str">
        <f t="shared" si="3"/>
        <v/>
      </c>
      <c r="AA8" s="128">
        <v>46325</v>
      </c>
    </row>
    <row r="9" spans="1:27" ht="18" customHeight="1" x14ac:dyDescent="0.35">
      <c r="A9" s="129" t="s">
        <v>110</v>
      </c>
      <c r="B9" s="115" t="s">
        <v>33</v>
      </c>
      <c r="C9" s="115" t="s">
        <v>11</v>
      </c>
      <c r="D9" s="61" t="s">
        <v>48</v>
      </c>
      <c r="E9" s="62" t="s">
        <v>44</v>
      </c>
      <c r="F9" s="63" t="s">
        <v>105</v>
      </c>
      <c r="G9" s="64" t="s">
        <v>47</v>
      </c>
      <c r="H9" s="42"/>
      <c r="I9" s="37"/>
      <c r="J9" s="44"/>
      <c r="K9" s="38" t="str">
        <f>IF(OR($D9=K$2,$E9=K$2,$F9=K$2),"Day",IF($G9=K$2,"Night",IF(OR($H9=K$2,$I9=K$2),"FC3",IF($J9=K$2,"FC3 Night",IF(AND(COUNTA($D9:$G9)&lt;4,Summary!$S$8&lt;Summary!$S$1),"Yellow","")))))</f>
        <v/>
      </c>
      <c r="L9" s="38" t="str">
        <f>IF(OR($D9=L$2,$E9=L$2,$F9=L$2),"Day",IF($G9=L$2,"Night",IF(OR($H9=L$2,$I9=L$2),"FC3",IF($J9=L$2,"FC3 Night",IF(AND(COUNTA($D9:$G9)&lt;4,Summary!$T$8&lt;Summary!$T$1),"Yellow","")))))</f>
        <v/>
      </c>
      <c r="M9" s="38" t="str">
        <f>IF(OR($D9=M$2,$E9=M$2,$F9=M$2),"Day",IF($G9=M$2,"Night",IF(OR($H9=M$2,$I9=M$2),"FC3",IF($J9=M$2,"FC3 Night","OFF"))))</f>
        <v>OFF</v>
      </c>
      <c r="N9" s="38" t="str">
        <f>IF(OR($D9=N$2,$E9=N$2,$F9=N$2),"Day",IF($G9=N$2,"Night",IF(OR($H9=N$2,$I9=N$2),"FC3",IF($J9=N$2,"FC3 Night",""))))</f>
        <v>Day</v>
      </c>
      <c r="O9" s="38" t="str">
        <f>IF(OR($D9=O$2,$E9=O$2,$F9=O$2),"Day",IF($G9=O$2,"Night",IF(OR($H9=O$2,$I9=O$2),"FC3",IF($J9=O$2,"FC3 Night","OFF"))))</f>
        <v>OFF</v>
      </c>
      <c r="P9" s="38" t="str">
        <f>IF(OR($D9=P$2,$E9=P$2,$F9=P$2),"Day",IF($G9=P$2,"Night",IF(OR($H9=P$2,$I9=P$2),"FC3",IF($J9=P$2,"FC3 Night",IF(AND(COUNTA($D9:$G9)&lt;4,Summary!$X$8&lt;Summary!$X$1),"Yellow","")))))</f>
        <v/>
      </c>
      <c r="Q9" s="38" t="str">
        <f t="shared" ref="Q9:R11" si="4">IF(OR($D9=Q$2,$E9=Q$2,$F9=Q$2),"Day",IF($G9=Q$2,"Night",IF(OR($H9=Q$2,$I9=Q$2),"FC3",IF($J9=Q$2,"FC3 Night",""))))</f>
        <v>Night</v>
      </c>
      <c r="R9" s="38" t="str">
        <f t="shared" si="4"/>
        <v>Day</v>
      </c>
      <c r="S9" s="38" t="str">
        <f t="shared" si="1"/>
        <v>OFF</v>
      </c>
      <c r="T9" s="38" t="str">
        <f>IF(OR($D9=T$2,$E9=T$2,$F9=T$2),"Day",IF($G9=T$2,"Night",IF(OR($H9=T$2,$I9=T$2),"FC3",IF($J9=T$2,"FC3 Night","OFF"))))</f>
        <v>OFF</v>
      </c>
      <c r="U9" s="38" t="str">
        <f t="shared" si="3"/>
        <v/>
      </c>
      <c r="V9" s="38" t="str">
        <f t="shared" si="3"/>
        <v/>
      </c>
      <c r="W9" s="38" t="str">
        <f t="shared" si="3"/>
        <v/>
      </c>
      <c r="X9" s="38" t="str">
        <f t="shared" si="3"/>
        <v/>
      </c>
      <c r="Y9" s="38" t="str">
        <f t="shared" si="3"/>
        <v/>
      </c>
      <c r="Z9" s="38" t="str">
        <f t="shared" si="3"/>
        <v/>
      </c>
      <c r="AA9" s="128">
        <v>46326</v>
      </c>
    </row>
    <row r="10" spans="1:27" ht="18" customHeight="1" x14ac:dyDescent="0.35">
      <c r="A10" s="129" t="s">
        <v>111</v>
      </c>
      <c r="B10" s="115" t="s">
        <v>27</v>
      </c>
      <c r="C10" s="115" t="s">
        <v>11</v>
      </c>
      <c r="D10" s="61" t="s">
        <v>48</v>
      </c>
      <c r="E10" s="66" t="s">
        <v>105</v>
      </c>
      <c r="F10" s="63" t="s">
        <v>105</v>
      </c>
      <c r="G10" s="64" t="s">
        <v>47</v>
      </c>
      <c r="H10" s="42"/>
      <c r="I10" s="37"/>
      <c r="J10" s="44"/>
      <c r="K10" s="38" t="str">
        <f>IF(OR($D10=K$2,$E10=K$2,$F10=K$2),"Day",IF($G10=K$2,"Night",IF(OR($H10=K$2,$I10=K$2),"FC3",IF($J10=K$2,"FC3 Night","OFF"))))</f>
        <v>OFF</v>
      </c>
      <c r="L10" s="38" t="str">
        <f>IF(OR($D10=L$2,$E10=L$2,$F10=L$2),"Day",IF($G10=L$2,"Night",IF(OR($H10=L$2,$I10=L$2),"FC3",IF($J10=L$2,"FC3 Night","OFF"))))</f>
        <v>OFF</v>
      </c>
      <c r="M10" s="38" t="str">
        <f>IF(OR($D10=M$2,$E10=M$2,$F10=M$2),"Day",IF($G10=M$2,"Night",IF(OR($H10=M$2,$I10=M$2),"FC3",IF($J10=M$2,"FC3 Night","OFF"))))</f>
        <v>OFF</v>
      </c>
      <c r="N10" s="38" t="str">
        <f>IF(OR($D10=N$2,$E10=N$2,$F10=N$2),"Day",IF($G10=N$2,"Night",IF(OR($H10=N$2,$I10=N$2),"FC3",IF($J10=N$2,"FC3 Night","OFF"))))</f>
        <v>OFF</v>
      </c>
      <c r="O10" s="38" t="str">
        <f>IF(OR($D10=O$2,$E10=O$2,$F10=O$2),"Day",IF($G10=O$2,"Night",IF(OR($H10=O$2,$I10=O$2),"FC3",IF($J10=O$2,"FC3 Night","OFF"))))</f>
        <v>OFF</v>
      </c>
      <c r="P10" s="38" t="str">
        <f>IF(OR($D10=P$2,$E10=P$2,$F10=P$2),"Day",IF($G10=P$2,"Night",IF(OR($H10=P$2,$I10=P$2),"FC3",IF($J10=P$2,"FC3 Night",IF(AND(COUNTA($D10:$G10)&lt;4,Summary!$X$8&lt;Summary!$X$1),"Yellow","")))))</f>
        <v/>
      </c>
      <c r="Q10" s="38" t="str">
        <f t="shared" si="4"/>
        <v>Night</v>
      </c>
      <c r="R10" s="38" t="str">
        <f t="shared" si="4"/>
        <v>Day</v>
      </c>
      <c r="S10" s="38" t="str">
        <f t="shared" si="1"/>
        <v>OFF</v>
      </c>
      <c r="T10" s="38" t="str">
        <f>IF(OR($D10=T$2,$E10=T$2,$F10=T$2),"Day",IF($G10=T$2,"Night",IF(OR($H10=T$2,$I10=T$2),"FC3",IF($J10=T$2,"FC3 Night","OFF"))))</f>
        <v>OFF</v>
      </c>
      <c r="U10" s="38" t="str">
        <f t="shared" si="3"/>
        <v/>
      </c>
      <c r="V10" s="38" t="str">
        <f t="shared" si="3"/>
        <v/>
      </c>
      <c r="W10" s="38" t="str">
        <f t="shared" si="3"/>
        <v/>
      </c>
      <c r="X10" s="38" t="str">
        <f t="shared" si="3"/>
        <v/>
      </c>
      <c r="Y10" s="38" t="str">
        <f t="shared" si="3"/>
        <v/>
      </c>
      <c r="Z10" s="38" t="str">
        <f t="shared" si="3"/>
        <v/>
      </c>
      <c r="AA10" s="128">
        <v>46327</v>
      </c>
    </row>
    <row r="11" spans="1:27" ht="18" customHeight="1" x14ac:dyDescent="0.35">
      <c r="A11" s="127" t="s">
        <v>112</v>
      </c>
      <c r="B11" s="114" t="s">
        <v>28</v>
      </c>
      <c r="C11" s="114" t="s">
        <v>11</v>
      </c>
      <c r="D11" s="61" t="s">
        <v>45</v>
      </c>
      <c r="E11" s="62" t="s">
        <v>43</v>
      </c>
      <c r="F11" s="62" t="s">
        <v>46</v>
      </c>
      <c r="G11" s="64" t="s">
        <v>50</v>
      </c>
      <c r="H11" s="41"/>
      <c r="I11" s="35"/>
      <c r="J11" s="43"/>
      <c r="K11" s="36" t="str">
        <f t="shared" ref="K11:K17" si="5">IF(OR($D11=K$2,$E11=K$2,$F11=K$2),"Day",IF($G11=K$2,"Night",IF(OR($H11=K$2,$I11=K$2),"FC3",IF($J11=K$2,"FC3 Night",""))))</f>
        <v/>
      </c>
      <c r="L11" s="36" t="str">
        <f>IF(OR($D11=L$2,$E11=L$2,$F11=L$2),"Day",IF($G11=L$2,"Night",IF(OR($H11=L$2,$I11=L$2),"FC3",IF($J11=L$2,"FC3 Night","OFF"))))</f>
        <v>OFF</v>
      </c>
      <c r="M11" s="36" t="str">
        <f t="shared" ref="M11:M17" si="6">IF(OR($D11=M$2,$E11=M$2,$F11=M$2),"Day",IF($G11=M$2,"Night",IF(OR($H11=M$2,$I11=M$2),"FC3",IF($J11=M$2,"FC3 Night",""))))</f>
        <v>Day</v>
      </c>
      <c r="N11" s="36" t="str">
        <f>IF(OR($D11=N$2,$E11=N$2,$F11=N$2),"Day",IF($G11=N$2,"Night",IF(OR($H11=N$2,$I11=N$2),"FC3",IF($J11=N$2,"FC3 Night",IF(AND(COUNTA($D11:$G11)&lt;4,Summary!$V$8&lt;Summary!$V$1),"Yellow","")))))</f>
        <v/>
      </c>
      <c r="O11" s="36" t="str">
        <f t="shared" ref="O11:P14" si="7">IF(OR($D11=O$2,$E11=O$2,$F11=O$2),"Day",IF($G11=O$2,"Night",IF(OR($H11=O$2,$I11=O$2),"FC3",IF($J11=O$2,"FC3 Night",""))))</f>
        <v>Day</v>
      </c>
      <c r="P11" s="36" t="str">
        <f t="shared" si="7"/>
        <v>Day</v>
      </c>
      <c r="Q11" s="36" t="str">
        <f t="shared" si="4"/>
        <v/>
      </c>
      <c r="R11" s="36" t="str">
        <f t="shared" si="4"/>
        <v/>
      </c>
      <c r="S11" s="36" t="str">
        <f t="shared" si="1"/>
        <v>OFF</v>
      </c>
      <c r="T11" s="36" t="str">
        <f>IF(OR($D11=T$2,$E11=T$2,$F11=T$2),"Day",IF($G11=T$2,"Night",IF(OR($H11=T$2,$I11=T$2),"FC3",IF($J11=T$2,"FC3 Night",""))))</f>
        <v>Night</v>
      </c>
      <c r="U11" s="36" t="str">
        <f t="shared" si="3"/>
        <v/>
      </c>
      <c r="V11" s="36" t="str">
        <f t="shared" si="3"/>
        <v/>
      </c>
      <c r="W11" s="36" t="str">
        <f t="shared" si="3"/>
        <v/>
      </c>
      <c r="X11" s="36" t="str">
        <f t="shared" si="3"/>
        <v/>
      </c>
      <c r="Y11" s="36" t="str">
        <f t="shared" si="3"/>
        <v/>
      </c>
      <c r="Z11" s="36" t="str">
        <f t="shared" si="3"/>
        <v/>
      </c>
      <c r="AA11" s="128">
        <v>46328</v>
      </c>
    </row>
    <row r="12" spans="1:27" ht="18" customHeight="1" x14ac:dyDescent="0.35">
      <c r="A12" s="127" t="s">
        <v>113</v>
      </c>
      <c r="B12" s="114" t="s">
        <v>29</v>
      </c>
      <c r="C12" s="114" t="s">
        <v>11</v>
      </c>
      <c r="D12" s="61" t="s">
        <v>45</v>
      </c>
      <c r="E12" s="62" t="s">
        <v>44</v>
      </c>
      <c r="F12" s="63" t="s">
        <v>105</v>
      </c>
      <c r="G12" s="64" t="s">
        <v>50</v>
      </c>
      <c r="H12" s="41"/>
      <c r="I12" s="35"/>
      <c r="J12" s="43"/>
      <c r="K12" s="36" t="str">
        <f t="shared" si="5"/>
        <v/>
      </c>
      <c r="L12" s="36" t="str">
        <f>IF(OR($D12=L$2,$E12=L$2,$F12=L$2),"Day",IF($G12=L$2,"Night",IF(OR($H12=L$2,$I12=L$2),"FC3",IF($J12=L$2,"FC3 Night","OFF"))))</f>
        <v>OFF</v>
      </c>
      <c r="M12" s="36" t="str">
        <f t="shared" si="6"/>
        <v/>
      </c>
      <c r="N12" s="36" t="str">
        <f>IF(OR($D12=N$2,$E12=N$2,$F12=N$2),"Day",IF($G12=N$2,"Night",IF(OR($H12=N$2,$I12=N$2),"FC3",IF($J12=N$2,"FC3 Night",""))))</f>
        <v>Day</v>
      </c>
      <c r="O12" s="36" t="str">
        <f t="shared" si="7"/>
        <v>Day</v>
      </c>
      <c r="P12" s="36" t="str">
        <f t="shared" si="7"/>
        <v/>
      </c>
      <c r="Q12" s="36" t="str">
        <f>IF(OR($D12=Q$2,$E12=Q$2,$F12=Q$2),"Day",IF($G12=Q$2,"Night",IF(OR($H12=Q$2,$I12=Q$2),"FC3",IF($J12=Q$2,"FC3 Night",""))))</f>
        <v/>
      </c>
      <c r="R12" s="36" t="str">
        <f>IF(OR($D12=R$2,$E12=R$2,$F12=R$2),"Day",IF($G12=R$2,"Night",IF(OR($H12=R$2,$I12=R$2),"FC3",IF($J12=R$2,"FC3 Night","OFF"))))</f>
        <v>OFF</v>
      </c>
      <c r="S12" s="36" t="str">
        <f t="shared" si="1"/>
        <v>OFF</v>
      </c>
      <c r="T12" s="36" t="str">
        <f>IF(OR($D12=T$2,$E12=T$2,$F12=T$2),"Day",IF($G12=T$2,"Night",IF(OR($H12=T$2,$I12=T$2),"FC3",IF($J12=T$2,"FC3 Night",""))))</f>
        <v>Night</v>
      </c>
      <c r="U12" s="36" t="str">
        <f t="shared" si="3"/>
        <v/>
      </c>
      <c r="V12" s="36" t="str">
        <f t="shared" si="3"/>
        <v/>
      </c>
      <c r="W12" s="36" t="str">
        <f t="shared" si="3"/>
        <v/>
      </c>
      <c r="X12" s="36" t="str">
        <f t="shared" si="3"/>
        <v/>
      </c>
      <c r="Y12" s="36" t="str">
        <f t="shared" si="3"/>
        <v/>
      </c>
      <c r="Z12" s="36" t="str">
        <f t="shared" si="3"/>
        <v/>
      </c>
      <c r="AA12" s="128">
        <v>46329</v>
      </c>
    </row>
    <row r="13" spans="1:27" ht="18" customHeight="1" x14ac:dyDescent="0.35">
      <c r="A13" s="127" t="s">
        <v>114</v>
      </c>
      <c r="B13" s="114" t="s">
        <v>30</v>
      </c>
      <c r="C13" s="114" t="s">
        <v>11</v>
      </c>
      <c r="D13" s="61" t="s">
        <v>48</v>
      </c>
      <c r="E13" s="62" t="s">
        <v>2</v>
      </c>
      <c r="F13" s="62" t="s">
        <v>45</v>
      </c>
      <c r="G13" s="64" t="s">
        <v>50</v>
      </c>
      <c r="H13" s="41"/>
      <c r="I13" s="35"/>
      <c r="J13" s="43"/>
      <c r="K13" s="36" t="str">
        <f t="shared" si="5"/>
        <v>Day</v>
      </c>
      <c r="L13" s="36" t="str">
        <f>IF(OR($D13=L$2,$E13=L$2,$F13=L$2),"Day",IF($G13=L$2,"Night",IF(OR($H13=L$2,$I13=L$2),"FC3",IF($J13=L$2,"FC3 Night",""))))</f>
        <v/>
      </c>
      <c r="M13" s="36" t="str">
        <f t="shared" si="6"/>
        <v/>
      </c>
      <c r="N13" s="36" t="str">
        <f>IF(OR($D13=N$2,$E13=N$2,$F13=N$2),"Day",IF($G13=N$2,"Night",IF(OR($H13=N$2,$I13=N$2),"FC3",IF($J13=N$2,"FC3 Night",""))))</f>
        <v/>
      </c>
      <c r="O13" s="36" t="str">
        <f t="shared" si="7"/>
        <v>Day</v>
      </c>
      <c r="P13" s="36" t="str">
        <f t="shared" si="7"/>
        <v/>
      </c>
      <c r="Q13" s="36" t="str">
        <f>IF(OR($D13=Q$2,$E13=Q$2,$F13=Q$2),"Day",IF($G13=Q$2,"Night",IF(OR($H13=Q$2,$I13=Q$2),"FC3",IF($J13=Q$2,"FC3 Night",""))))</f>
        <v/>
      </c>
      <c r="R13" s="36" t="str">
        <f>IF(OR($D13=R$2,$E13=R$2,$F13=R$2),"Day",IF($G13=R$2,"Night",IF(OR($H13=R$2,$I13=R$2),"FC3",IF($J13=R$2,"FC3 Night",""))))</f>
        <v>Day</v>
      </c>
      <c r="S13" s="36" t="str">
        <f t="shared" si="1"/>
        <v>OFF</v>
      </c>
      <c r="T13" s="36" t="str">
        <f>IF(OR($D13=T$2,$E13=T$2,$F13=T$2),"Day",IF($G13=T$2,"Night",IF(OR($H13=T$2,$I13=T$2),"FC3",IF($J13=T$2,"FC3 Night",""))))</f>
        <v>Night</v>
      </c>
      <c r="U13" s="36" t="str">
        <f t="shared" si="3"/>
        <v/>
      </c>
      <c r="V13" s="36" t="str">
        <f t="shared" si="3"/>
        <v/>
      </c>
      <c r="W13" s="36" t="str">
        <f t="shared" si="3"/>
        <v/>
      </c>
      <c r="X13" s="36" t="str">
        <f t="shared" si="3"/>
        <v/>
      </c>
      <c r="Y13" s="36" t="str">
        <f t="shared" si="3"/>
        <v/>
      </c>
      <c r="Z13" s="36" t="str">
        <f t="shared" si="3"/>
        <v/>
      </c>
      <c r="AA13" s="128">
        <v>46330</v>
      </c>
    </row>
    <row r="14" spans="1:27" ht="18" customHeight="1" x14ac:dyDescent="0.35">
      <c r="A14" s="127" t="s">
        <v>115</v>
      </c>
      <c r="B14" s="114" t="s">
        <v>31</v>
      </c>
      <c r="C14" s="114" t="s">
        <v>11</v>
      </c>
      <c r="D14" s="61" t="s">
        <v>2</v>
      </c>
      <c r="E14" s="62" t="s">
        <v>48</v>
      </c>
      <c r="F14" s="63" t="s">
        <v>105</v>
      </c>
      <c r="G14" s="64" t="s">
        <v>42</v>
      </c>
      <c r="H14" s="41"/>
      <c r="I14" s="35"/>
      <c r="J14" s="43"/>
      <c r="K14" s="36" t="str">
        <f t="shared" si="5"/>
        <v>Day</v>
      </c>
      <c r="L14" s="36" t="str">
        <f>IF(OR($D14=L$2,$E14=L$2,$F14=L$2),"Day",IF($G14=L$2,"Night",IF(OR($H14=L$2,$I14=L$2),"FC3",IF($J14=L$2,"FC3 Night",""))))</f>
        <v>Night</v>
      </c>
      <c r="M14" s="36" t="str">
        <f t="shared" si="6"/>
        <v/>
      </c>
      <c r="N14" s="36" t="str">
        <f>IF(OR($D14=N$2,$E14=N$2,$F14=N$2),"Day",IF($G14=N$2,"Night",IF(OR($H14=N$2,$I14=N$2),"FC3",IF($J14=N$2,"FC3 Night",""))))</f>
        <v/>
      </c>
      <c r="O14" s="36" t="str">
        <f t="shared" si="7"/>
        <v/>
      </c>
      <c r="P14" s="36" t="str">
        <f t="shared" si="7"/>
        <v/>
      </c>
      <c r="Q14" s="36" t="str">
        <f>IF(OR($D14=Q$2,$E14=Q$2,$F14=Q$2),"Day",IF($G14=Q$2,"Night",IF(OR($H14=Q$2,$I14=Q$2),"FC3",IF($J14=Q$2,"FC3 Night",""))))</f>
        <v/>
      </c>
      <c r="R14" s="36" t="str">
        <f>IF(OR($D14=R$2,$E14=R$2,$F14=R$2),"Day",IF($G14=R$2,"Night",IF(OR($H14=R$2,$I14=R$2),"FC3",IF($J14=R$2,"FC3 Night",""))))</f>
        <v>Day</v>
      </c>
      <c r="S14" s="36" t="str">
        <f t="shared" si="1"/>
        <v>OFF</v>
      </c>
      <c r="T14" s="36" t="str">
        <f>IF(OR($D14=T$2,$E14=T$2,$F14=T$2),"Day",IF($G14=T$2,"Night",IF(OR($H14=T$2,$I14=T$2),"FC3",IF($J14=T$2,"FC3 Night",IF(AND(COUNTA($D14:$G14)&lt;4,Summary!$AB$8&lt;Summary!$AB$1),"Yellow","")))))</f>
        <v/>
      </c>
      <c r="U14" s="36" t="str">
        <f t="shared" si="3"/>
        <v/>
      </c>
      <c r="V14" s="36" t="str">
        <f t="shared" si="3"/>
        <v/>
      </c>
      <c r="W14" s="36" t="str">
        <f t="shared" si="3"/>
        <v/>
      </c>
      <c r="X14" s="36" t="str">
        <f t="shared" si="3"/>
        <v/>
      </c>
      <c r="Y14" s="36" t="str">
        <f t="shared" si="3"/>
        <v/>
      </c>
      <c r="Z14" s="36" t="str">
        <f t="shared" si="3"/>
        <v/>
      </c>
      <c r="AA14" s="128">
        <v>46331</v>
      </c>
    </row>
    <row r="15" spans="1:27" ht="18" customHeight="1" x14ac:dyDescent="0.35">
      <c r="A15" s="127" t="s">
        <v>116</v>
      </c>
      <c r="B15" s="114" t="s">
        <v>32</v>
      </c>
      <c r="C15" s="114" t="s">
        <v>11</v>
      </c>
      <c r="D15" s="61" t="s">
        <v>43</v>
      </c>
      <c r="E15" s="62" t="s">
        <v>47</v>
      </c>
      <c r="F15" s="63" t="s">
        <v>105</v>
      </c>
      <c r="G15" s="64" t="s">
        <v>42</v>
      </c>
      <c r="H15" s="41"/>
      <c r="I15" s="35"/>
      <c r="J15" s="43"/>
      <c r="K15" s="36" t="str">
        <f t="shared" si="5"/>
        <v/>
      </c>
      <c r="L15" s="36" t="str">
        <f>IF(OR($D15=L$2,$E15=L$2,$F15=L$2),"Day",IF($G15=L$2,"Night",IF(OR($H15=L$2,$I15=L$2),"FC3",IF($J15=L$2,"FC3 Night",""))))</f>
        <v>Night</v>
      </c>
      <c r="M15" s="36" t="str">
        <f t="shared" si="6"/>
        <v>Day</v>
      </c>
      <c r="N15" s="36" t="str">
        <f>IF(OR($D15=N$2,$E15=N$2,$F15=N$2),"Day",IF($G15=N$2,"Night",IF(OR($H15=N$2,$I15=N$2),"FC3",IF($J15=N$2,"FC3 Night","OFF"))))</f>
        <v>OFF</v>
      </c>
      <c r="O15" s="36" t="str">
        <f>IF(OR($D15=O$2,$E15=O$2,$F15=O$2),"Day",IF($G15=O$2,"Night",IF(OR($H15=O$2,$I15=O$2),"FC3",IF($J15=O$2,"FC3 Night","OFF"))))</f>
        <v>OFF</v>
      </c>
      <c r="P15" s="36" t="str">
        <f>IF(OR($D15=P$2,$E15=P$2,$F15=P$2),"Day",IF($G15=P$2,"Night",IF(OR($H15=P$2,$I15=P$2),"FC3",IF($J15=P$2,"FC3 Night","OFF"))))</f>
        <v>OFF</v>
      </c>
      <c r="Q15" s="36" t="str">
        <f>IF(OR($D15=Q$2,$E15=Q$2,$F15=Q$2),"Day",IF($G15=Q$2,"Night",IF(OR($H15=Q$2,$I15=Q$2),"FC3",IF($J15=Q$2,"FC3 Night",""))))</f>
        <v>Day</v>
      </c>
      <c r="R15" s="36" t="str">
        <f>IF(OR($D15=R$2,$E15=R$2,$F15=R$2),"Day",IF($G15=R$2,"Night",IF(OR($H15=R$2,$I15=R$2),"FC3",IF($J15=R$2,"FC3 Night","OFF"))))</f>
        <v>OFF</v>
      </c>
      <c r="S15" s="36" t="str">
        <f t="shared" si="1"/>
        <v>OFF</v>
      </c>
      <c r="T15" s="36" t="str">
        <f>IF(OR($D15=T$2,$E15=T$2,$F15=T$2),"Day",IF($G15=T$2,"Night",IF(OR($H15=T$2,$I15=T$2),"FC3",IF($J15=T$2,"FC3 Night",""))))</f>
        <v/>
      </c>
      <c r="U15" s="36" t="str">
        <f t="shared" si="3"/>
        <v/>
      </c>
      <c r="V15" s="36" t="str">
        <f t="shared" si="3"/>
        <v/>
      </c>
      <c r="W15" s="36" t="str">
        <f t="shared" si="3"/>
        <v/>
      </c>
      <c r="X15" s="36" t="str">
        <f t="shared" si="3"/>
        <v/>
      </c>
      <c r="Y15" s="36" t="str">
        <f t="shared" si="3"/>
        <v/>
      </c>
      <c r="Z15" s="36" t="str">
        <f t="shared" si="3"/>
        <v/>
      </c>
      <c r="AA15" s="128">
        <v>46332</v>
      </c>
    </row>
    <row r="16" spans="1:27" ht="18" customHeight="1" x14ac:dyDescent="0.35">
      <c r="A16" s="129" t="s">
        <v>117</v>
      </c>
      <c r="B16" s="115" t="s">
        <v>33</v>
      </c>
      <c r="C16" s="115" t="s">
        <v>11</v>
      </c>
      <c r="D16" s="61" t="s">
        <v>43</v>
      </c>
      <c r="E16" s="62" t="s">
        <v>50</v>
      </c>
      <c r="F16" s="63" t="s">
        <v>105</v>
      </c>
      <c r="G16" s="64" t="s">
        <v>42</v>
      </c>
      <c r="H16" s="42"/>
      <c r="I16" s="37"/>
      <c r="J16" s="44"/>
      <c r="K16" s="38" t="str">
        <f t="shared" si="5"/>
        <v/>
      </c>
      <c r="L16" s="38" t="str">
        <f>IF(OR($D16=L$2,$E16=L$2,$F16=L$2),"Day",IF($G16=L$2,"Night",IF(OR($H16=L$2,$I16=L$2),"FC3",IF($J16=L$2,"FC3 Night",""))))</f>
        <v>Night</v>
      </c>
      <c r="M16" s="38" t="str">
        <f t="shared" si="6"/>
        <v>Day</v>
      </c>
      <c r="N16" s="38" t="str">
        <f>IF(OR($D16=N$2,$E16=N$2,$F16=N$2),"Day",IF($G16=N$2,"Night",IF(OR($H16=N$2,$I16=N$2),"FC3",IF($J16=N$2,"FC3 Night","CME"))))</f>
        <v>CME</v>
      </c>
      <c r="O16" s="38" t="str">
        <f>IF(OR($D16=O$2,$E16=O$2,$F16=O$2),"Day",IF($G16=O$2,"Night",IF(OR($H16=O$2,$I16=O$2),"FC3",IF($J16=O$2,"FC3 Night","OFF"))))</f>
        <v>OFF</v>
      </c>
      <c r="P16" s="38" t="str">
        <f>IF(OR($D16=P$2,$E16=P$2,$F16=P$2),"Day",IF($G16=P$2,"Night",IF(OR($H16=P$2,$I16=P$2),"FC3",IF($J16=P$2,"FC3 Night","CME"))))</f>
        <v>CME</v>
      </c>
      <c r="Q16" s="38" t="str">
        <f>IF(OR($D16=Q$2,$E16=Q$2,$F16=Q$2),"Day",IF($G16=Q$2,"Night",IF(OR($H16=Q$2,$I16=Q$2),"FC3",IF($J16=Q$2,"FC3 Night","CME"))))</f>
        <v>CME</v>
      </c>
      <c r="R16" s="38" t="str">
        <f>IF(OR($D16=R$2,$E16=R$2,$F16=R$2),"Day",IF($G16=R$2,"Night",IF(OR($H16=R$2,$I16=R$2),"FC3",IF($J16=R$2,"FC3 Night","OFF"))))</f>
        <v>OFF</v>
      </c>
      <c r="S16" s="38" t="str">
        <f t="shared" si="1"/>
        <v>OFF</v>
      </c>
      <c r="T16" s="38" t="str">
        <f>IF(OR($D16=T$2,$E16=T$2,$F16=T$2),"Day",IF($G16=T$2,"Night",IF(OR($H16=T$2,$I16=T$2),"FC3",IF($J16=T$2,"FC3 Night",""))))</f>
        <v>Day</v>
      </c>
      <c r="U16" s="38" t="str">
        <f t="shared" si="3"/>
        <v/>
      </c>
      <c r="V16" s="38" t="str">
        <f t="shared" si="3"/>
        <v/>
      </c>
      <c r="W16" s="38" t="str">
        <f t="shared" si="3"/>
        <v/>
      </c>
      <c r="X16" s="38" t="str">
        <f t="shared" si="3"/>
        <v/>
      </c>
      <c r="Y16" s="38" t="str">
        <f t="shared" si="3"/>
        <v/>
      </c>
      <c r="Z16" s="38" t="str">
        <f t="shared" si="3"/>
        <v/>
      </c>
      <c r="AA16" s="128">
        <v>46333</v>
      </c>
    </row>
    <row r="17" spans="1:27" ht="18" customHeight="1" x14ac:dyDescent="0.35">
      <c r="A17" s="129" t="s">
        <v>118</v>
      </c>
      <c r="B17" s="115" t="s">
        <v>27</v>
      </c>
      <c r="C17" s="115" t="s">
        <v>11</v>
      </c>
      <c r="D17" s="61" t="s">
        <v>43</v>
      </c>
      <c r="E17" s="62" t="s">
        <v>50</v>
      </c>
      <c r="F17" s="63" t="s">
        <v>105</v>
      </c>
      <c r="G17" s="64" t="s">
        <v>2</v>
      </c>
      <c r="H17" s="42"/>
      <c r="I17" s="37"/>
      <c r="J17" s="44"/>
      <c r="K17" s="38" t="str">
        <f t="shared" si="5"/>
        <v>Night</v>
      </c>
      <c r="L17" s="38" t="str">
        <f>IF(OR($D17=L$2,$E17=L$2,$F17=L$2),"Day",IF($G17=L$2,"Night",IF(OR($H17=L$2,$I17=L$2),"FC3",IF($J17=L$2,"FC3 Night",""))))</f>
        <v/>
      </c>
      <c r="M17" s="38" t="str">
        <f t="shared" si="6"/>
        <v>Day</v>
      </c>
      <c r="N17" s="38" t="str">
        <f>IF(OR($D17=N$2,$E17=N$2,$F17=N$2),"Day",IF($G17=N$2,"Night",IF(OR($H17=N$2,$I17=N$2),"FC3",IF($J17=N$2,"FC3 Night","CME"))))</f>
        <v>CME</v>
      </c>
      <c r="O17" s="38" t="str">
        <f>IF(OR($D17=O$2,$E17=O$2,$F17=O$2),"Day",IF($G17=O$2,"Night",IF(OR($H17=O$2,$I17=O$2),"FC3",IF($J17=O$2,"FC3 Night","OFF"))))</f>
        <v>OFF</v>
      </c>
      <c r="P17" s="38" t="str">
        <f>IF(OR($D17=P$2,$E17=P$2,$F17=P$2),"Day",IF($G17=P$2,"Night",IF(OR($H17=P$2,$I17=P$2),"FC3",IF($J17=P$2,"FC3 Night","CME"))))</f>
        <v>CME</v>
      </c>
      <c r="Q17" s="38" t="str">
        <f>IF(OR($D17=Q$2,$E17=Q$2,$F17=Q$2),"Day",IF($G17=Q$2,"Night",IF(OR($H17=Q$2,$I17=Q$2),"FC3",IF($J17=Q$2,"FC3 Night","CME"))))</f>
        <v>CME</v>
      </c>
      <c r="R17" s="38" t="str">
        <f>IF(OR($D17=R$2,$E17=R$2,$F17=R$2),"Day",IF($G17=R$2,"Night",IF(OR($H17=R$2,$I17=R$2),"FC3",IF($J17=R$2,"FC3 Night","OFF"))))</f>
        <v>OFF</v>
      </c>
      <c r="S17" s="38" t="str">
        <f t="shared" si="1"/>
        <v>OFF</v>
      </c>
      <c r="T17" s="38" t="str">
        <f>IF(OR($D17=T$2,$E17=T$2,$F17=T$2),"Day",IF($G17=T$2,"Night",IF(OR($H17=T$2,$I17=T$2),"FC3",IF($J17=T$2,"FC3 Night",""))))</f>
        <v>Day</v>
      </c>
      <c r="U17" s="38" t="str">
        <f t="shared" si="3"/>
        <v/>
      </c>
      <c r="V17" s="38" t="str">
        <f t="shared" si="3"/>
        <v/>
      </c>
      <c r="W17" s="38" t="str">
        <f t="shared" si="3"/>
        <v/>
      </c>
      <c r="X17" s="38" t="str">
        <f t="shared" si="3"/>
        <v/>
      </c>
      <c r="Y17" s="38" t="str">
        <f t="shared" si="3"/>
        <v/>
      </c>
      <c r="Z17" s="38" t="str">
        <f t="shared" si="3"/>
        <v/>
      </c>
      <c r="AA17" s="128">
        <v>46334</v>
      </c>
    </row>
    <row r="18" spans="1:27" ht="16" customHeight="1" x14ac:dyDescent="0.35">
      <c r="A18" s="130" t="s">
        <v>119</v>
      </c>
      <c r="B18" s="59"/>
      <c r="C18" s="59"/>
      <c r="D18" s="60"/>
      <c r="E18" s="34"/>
      <c r="F18" s="34"/>
      <c r="G18" s="40"/>
      <c r="H18" s="39"/>
      <c r="I18" s="34"/>
      <c r="J18" s="40"/>
      <c r="K18" s="33" t="s">
        <v>100</v>
      </c>
      <c r="L18" s="33" t="s">
        <v>120</v>
      </c>
      <c r="M18" s="33" t="s">
        <v>100</v>
      </c>
      <c r="N18" s="33" t="s">
        <v>120</v>
      </c>
      <c r="O18" s="33" t="s">
        <v>120</v>
      </c>
      <c r="P18" s="33" t="s">
        <v>101</v>
      </c>
      <c r="Q18" s="33" t="s">
        <v>120</v>
      </c>
      <c r="R18" s="33" t="s">
        <v>101</v>
      </c>
      <c r="S18" s="33" t="s">
        <v>103</v>
      </c>
      <c r="T18" s="33" t="s">
        <v>120</v>
      </c>
      <c r="U18" s="33" t="s">
        <v>103</v>
      </c>
      <c r="V18" s="33" t="s">
        <v>103</v>
      </c>
      <c r="W18" s="33" t="s">
        <v>103</v>
      </c>
      <c r="X18" s="33" t="s">
        <v>103</v>
      </c>
      <c r="Y18" s="33" t="s">
        <v>103</v>
      </c>
      <c r="Z18" s="33" t="s">
        <v>103</v>
      </c>
      <c r="AA18" s="131"/>
    </row>
    <row r="19" spans="1:27" ht="18" customHeight="1" x14ac:dyDescent="0.35">
      <c r="A19" s="127" t="s">
        <v>121</v>
      </c>
      <c r="B19" s="114" t="s">
        <v>28</v>
      </c>
      <c r="C19" s="114" t="s">
        <v>13</v>
      </c>
      <c r="D19" s="61" t="s">
        <v>43</v>
      </c>
      <c r="E19" s="62" t="s">
        <v>46</v>
      </c>
      <c r="F19" s="63" t="s">
        <v>105</v>
      </c>
      <c r="G19" s="64" t="s">
        <v>2</v>
      </c>
      <c r="H19" s="41"/>
      <c r="I19" s="35"/>
      <c r="J19" s="43"/>
      <c r="K19" s="36" t="str">
        <f>IF(OR($D19=K$2,$E19=K$2,$F19=K$2),"Day",IF($G19=K$2,"Night",IF(OR($H19=K$2,$I19=K$2),"FC3",IF($J19=K$2,"FC3 Night",""))))</f>
        <v>Night</v>
      </c>
      <c r="L19" s="36" t="str">
        <f>IF(OR($D19=L$2,$E19=L$2,$F19=L$2),"Day",IF($G19=L$2,"Night",IF(OR($H19=L$2,$I19=L$2),"FC3",IF($J19=L$2,"FC3 Night","CME"))))</f>
        <v>CME</v>
      </c>
      <c r="M19" s="36" t="str">
        <f>IF(OR($D19=M$2,$E19=M$2,$F19=M$2),"Day",IF($G19=M$2,"Night",IF(OR($H19=M$2,$I19=M$2),"FC3",IF($J19=M$2,"FC3 Night",""))))</f>
        <v>Day</v>
      </c>
      <c r="N19" s="36" t="str">
        <f>IF(OR($D19=N$2,$E19=N$2,$F19=N$2),"Day",IF($G19=N$2,"Night",IF(OR($H19=N$2,$I19=N$2),"FC3",IF($J19=N$2,"FC3 Night","CME"))))</f>
        <v>CME</v>
      </c>
      <c r="O19" s="36" t="str">
        <f>IF(OR($D19=O$2,$E19=O$2,$F19=O$2),"Day",IF($G19=O$2,"Night",IF(OR($H19=O$2,$I19=O$2),"FC3",IF($J19=O$2,"FC3 Night","CME"))))</f>
        <v>CME</v>
      </c>
      <c r="P19" s="36" t="str">
        <f>IF(OR($D19=P$2,$E19=P$2,$F19=P$2),"Day",IF($G19=P$2,"Night",IF(OR($H19=P$2,$I19=P$2),"FC3",IF($J19=P$2,"FC3 Night",""))))</f>
        <v>Day</v>
      </c>
      <c r="Q19" s="36" t="str">
        <f>IF(OR($D19=Q$2,$E19=Q$2,$F19=Q$2),"Day",IF($G19=Q$2,"Night",IF(OR($H19=Q$2,$I19=Q$2),"FC3",IF($J19=Q$2,"FC3 Night","CME"))))</f>
        <v>CME</v>
      </c>
      <c r="R19" s="36" t="str">
        <f t="shared" ref="R19:S22" si="8">IF(OR($D19=R$2,$E19=R$2,$F19=R$2),"Day",IF($G19=R$2,"Night",IF(OR($H19=R$2,$I19=R$2),"FC3",IF($J19=R$2,"FC3 Night","OFF"))))</f>
        <v>OFF</v>
      </c>
      <c r="S19" s="36" t="str">
        <f t="shared" si="8"/>
        <v>OFF</v>
      </c>
      <c r="T19" s="36" t="str">
        <f>IF(OR($D19=T$2,$E19=T$2,$F19=T$2),"Day",IF($G19=T$2,"Night",IF(OR($H19=T$2,$I19=T$2),"FC3",IF($J19=T$2,"FC3 Night","CME"))))</f>
        <v>CME</v>
      </c>
      <c r="U19" s="36" t="str">
        <f t="shared" ref="U19:Z32" si="9">IF(OR($D19=U$2,$E19=U$2,$F19=U$2),"Day",IF($G19=U$2,"Night",IF(OR($H19=U$2,$I19=U$2),"FC3",IF($J19=U$2,"FC3 Night",""))))</f>
        <v/>
      </c>
      <c r="V19" s="36" t="str">
        <f t="shared" si="9"/>
        <v/>
      </c>
      <c r="W19" s="36" t="str">
        <f t="shared" si="9"/>
        <v/>
      </c>
      <c r="X19" s="36" t="str">
        <f t="shared" si="9"/>
        <v/>
      </c>
      <c r="Y19" s="36" t="str">
        <f t="shared" si="9"/>
        <v/>
      </c>
      <c r="Z19" s="36" t="str">
        <f t="shared" si="9"/>
        <v/>
      </c>
      <c r="AA19" s="128">
        <v>46335</v>
      </c>
    </row>
    <row r="20" spans="1:27" ht="18" customHeight="1" x14ac:dyDescent="0.35">
      <c r="A20" s="127" t="s">
        <v>122</v>
      </c>
      <c r="B20" s="114" t="s">
        <v>29</v>
      </c>
      <c r="C20" s="114" t="s">
        <v>13</v>
      </c>
      <c r="D20" s="61" t="s">
        <v>42</v>
      </c>
      <c r="E20" s="62" t="s">
        <v>50</v>
      </c>
      <c r="F20" s="62" t="s">
        <v>47</v>
      </c>
      <c r="G20" s="64" t="s">
        <v>2</v>
      </c>
      <c r="H20" s="41"/>
      <c r="I20" s="35"/>
      <c r="J20" s="43"/>
      <c r="K20" s="36" t="str">
        <f>IF(OR($D20=K$2,$E20=K$2,$F20=K$2),"Day",IF($G20=K$2,"Night",IF(OR($H20=K$2,$I20=K$2),"FC3",IF($J20=K$2,"FC3 Night",""))))</f>
        <v>Night</v>
      </c>
      <c r="L20" s="36" t="str">
        <f>IF(OR($D20=L$2,$E20=L$2,$F20=L$2),"Day",IF($G20=L$2,"Night",IF(OR($H20=L$2,$I20=L$2),"FC3",IF($J20=L$2,"FC3 Night",""))))</f>
        <v>Day</v>
      </c>
      <c r="M20" s="36" t="str">
        <f>IF(OR($D20=M$2,$E20=M$2,$F20=M$2),"Day",IF($G20=M$2,"Night",IF(OR($H20=M$2,$I20=M$2),"FC3",IF($J20=M$2,"FC3 Night",""))))</f>
        <v/>
      </c>
      <c r="N20" s="36" t="str">
        <f t="shared" ref="N20:O23" si="10">IF(OR($D20=N$2,$E20=N$2,$F20=N$2),"Day",IF($G20=N$2,"Night",IF(OR($H20=N$2,$I20=N$2),"FC3",IF($J20=N$2,"FC3 Night",""))))</f>
        <v/>
      </c>
      <c r="O20" s="36" t="str">
        <f t="shared" si="10"/>
        <v/>
      </c>
      <c r="P20" s="36" t="str">
        <f>IF(OR($D20=P$2,$E20=P$2,$F20=P$2),"Day",IF($G20=P$2,"Night",IF(OR($H20=P$2,$I20=P$2),"FC3",IF($J20=P$2,"FC3 Night",""))))</f>
        <v/>
      </c>
      <c r="Q20" s="36" t="str">
        <f>IF(OR($D20=Q$2,$E20=Q$2,$F20=Q$2),"Day",IF($G20=Q$2,"Night",IF(OR($H20=Q$2,$I20=Q$2),"FC3",IF($J20=Q$2,"FC3 Night",""))))</f>
        <v>Day</v>
      </c>
      <c r="R20" s="36" t="str">
        <f t="shared" si="8"/>
        <v>OFF</v>
      </c>
      <c r="S20" s="36" t="str">
        <f t="shared" si="8"/>
        <v>OFF</v>
      </c>
      <c r="T20" s="36" t="str">
        <f>IF(OR($D20=T$2,$E20=T$2,$F20=T$2),"Day",IF($G20=T$2,"Night",IF(OR($H20=T$2,$I20=T$2),"FC3",IF($J20=T$2,"FC3 Night",""))))</f>
        <v>Day</v>
      </c>
      <c r="U20" s="36" t="str">
        <f t="shared" si="9"/>
        <v/>
      </c>
      <c r="V20" s="36" t="str">
        <f t="shared" si="9"/>
        <v/>
      </c>
      <c r="W20" s="36" t="str">
        <f t="shared" si="9"/>
        <v/>
      </c>
      <c r="X20" s="36" t="str">
        <f t="shared" si="9"/>
        <v/>
      </c>
      <c r="Y20" s="36" t="str">
        <f t="shared" si="9"/>
        <v/>
      </c>
      <c r="Z20" s="36" t="str">
        <f t="shared" si="9"/>
        <v/>
      </c>
      <c r="AA20" s="128">
        <v>46336</v>
      </c>
    </row>
    <row r="21" spans="1:27" ht="18" customHeight="1" x14ac:dyDescent="0.35">
      <c r="A21" s="127" t="s">
        <v>123</v>
      </c>
      <c r="B21" s="114" t="s">
        <v>30</v>
      </c>
      <c r="C21" s="114" t="s">
        <v>13</v>
      </c>
      <c r="D21" s="61" t="s">
        <v>50</v>
      </c>
      <c r="E21" s="62" t="s">
        <v>42</v>
      </c>
      <c r="F21" s="62" t="s">
        <v>46</v>
      </c>
      <c r="G21" s="64" t="s">
        <v>45</v>
      </c>
      <c r="H21" s="41"/>
      <c r="I21" s="35"/>
      <c r="J21" s="43"/>
      <c r="K21" s="36" t="str">
        <f>IF(OR($D21=K$2,$E21=K$2,$F21=K$2),"Day",IF($G21=K$2,"Night",IF(OR($H21=K$2,$I21=K$2),"FC3",IF($J21=K$2,"FC3 Night",""))))</f>
        <v/>
      </c>
      <c r="L21" s="36" t="str">
        <f>IF(OR($D21=L$2,$E21=L$2,$F21=L$2),"Day",IF($G21=L$2,"Night",IF(OR($H21=L$2,$I21=L$2),"FC3",IF($J21=L$2,"FC3 Night",""))))</f>
        <v>Day</v>
      </c>
      <c r="M21" s="36" t="str">
        <f>IF(OR($D21=M$2,$E21=M$2,$F21=M$2),"Day",IF($G21=M$2,"Night",IF(OR($H21=M$2,$I21=M$2),"FC3",IF($J21=M$2,"FC3 Night",""))))</f>
        <v/>
      </c>
      <c r="N21" s="36" t="str">
        <f t="shared" si="10"/>
        <v/>
      </c>
      <c r="O21" s="36" t="str">
        <f t="shared" si="10"/>
        <v>Night</v>
      </c>
      <c r="P21" s="36" t="str">
        <f>IF(OR($D21=P$2,$E21=P$2,$F21=P$2),"Day",IF($G21=P$2,"Night",IF(OR($H21=P$2,$I21=P$2),"FC3",IF($J21=P$2,"FC3 Night",""))))</f>
        <v>Day</v>
      </c>
      <c r="Q21" s="36" t="str">
        <f>IF(OR($D21=Q$2,$E21=Q$2,$F21=Q$2),"Day",IF($G21=Q$2,"Night",IF(OR($H21=Q$2,$I21=Q$2),"FC3",IF($J21=Q$2,"FC3 Night",IF(AND(COUNTA($D21:$G21)&lt;4,Summary!$Y$9&lt;Summary!$Y$2),"Yellow","")))))</f>
        <v/>
      </c>
      <c r="R21" s="36" t="str">
        <f t="shared" si="8"/>
        <v>OFF</v>
      </c>
      <c r="S21" s="36" t="str">
        <f t="shared" si="8"/>
        <v>OFF</v>
      </c>
      <c r="T21" s="36" t="str">
        <f>IF(OR($D21=T$2,$E21=T$2,$F21=T$2),"Day",IF($G21=T$2,"Night",IF(OR($H21=T$2,$I21=T$2),"FC3",IF($J21=T$2,"FC3 Night",""))))</f>
        <v>Day</v>
      </c>
      <c r="U21" s="36" t="str">
        <f t="shared" si="9"/>
        <v/>
      </c>
      <c r="V21" s="36" t="str">
        <f t="shared" si="9"/>
        <v/>
      </c>
      <c r="W21" s="36" t="str">
        <f t="shared" si="9"/>
        <v/>
      </c>
      <c r="X21" s="36" t="str">
        <f t="shared" si="9"/>
        <v/>
      </c>
      <c r="Y21" s="36" t="str">
        <f t="shared" si="9"/>
        <v/>
      </c>
      <c r="Z21" s="36" t="str">
        <f t="shared" si="9"/>
        <v/>
      </c>
      <c r="AA21" s="128">
        <v>46337</v>
      </c>
    </row>
    <row r="22" spans="1:27" ht="18" customHeight="1" x14ac:dyDescent="0.35">
      <c r="A22" s="127" t="s">
        <v>124</v>
      </c>
      <c r="B22" s="114" t="s">
        <v>31</v>
      </c>
      <c r="C22" s="114" t="s">
        <v>13</v>
      </c>
      <c r="D22" s="61" t="s">
        <v>46</v>
      </c>
      <c r="E22" s="62" t="s">
        <v>44</v>
      </c>
      <c r="F22" s="63" t="s">
        <v>105</v>
      </c>
      <c r="G22" s="64" t="s">
        <v>45</v>
      </c>
      <c r="H22" s="41"/>
      <c r="I22" s="35"/>
      <c r="J22" s="43"/>
      <c r="K22" s="36" t="str">
        <f>IF(OR($D22=K$2,$E22=K$2,$F22=K$2),"Day",IF($G22=K$2,"Night",IF(OR($H22=K$2,$I22=K$2),"FC3",IF($J22=K$2,"FC3 Night",""))))</f>
        <v/>
      </c>
      <c r="L22" s="36" t="str">
        <f>IF(OR($D22=L$2,$E22=L$2,$F22=L$2),"Day",IF($G22=L$2,"Night",IF(OR($H22=L$2,$I22=L$2),"FC3",IF($J22=L$2,"FC3 Night",IF(AND(COUNTA($D22:$G22)&lt;4,Summary!$T$9&lt;Summary!$T$2),"Yellow","")))))</f>
        <v/>
      </c>
      <c r="M22" s="36" t="str">
        <f>IF(OR($D22=M$2,$E22=M$2,$F22=M$2),"Day",IF($G22=M$2,"Night",IF(OR($H22=M$2,$I22=M$2),"FC3",IF($J22=M$2,"FC3 Night",""))))</f>
        <v/>
      </c>
      <c r="N22" s="36" t="str">
        <f t="shared" si="10"/>
        <v>Day</v>
      </c>
      <c r="O22" s="36" t="str">
        <f t="shared" si="10"/>
        <v>Night</v>
      </c>
      <c r="P22" s="36" t="str">
        <f>IF(OR($D22=P$2,$E22=P$2,$F22=P$2),"Day",IF($G22=P$2,"Night",IF(OR($H22=P$2,$I22=P$2),"FC3",IF($J22=P$2,"FC3 Night",""))))</f>
        <v>Day</v>
      </c>
      <c r="Q22" s="36" t="str">
        <f>IF(OR($D22=Q$2,$E22=Q$2,$F22=Q$2),"Day",IF($G22=Q$2,"Night",IF(OR($H22=Q$2,$I22=Q$2),"FC3",IF($J22=Q$2,"FC3 Night","OFF"))))</f>
        <v>OFF</v>
      </c>
      <c r="R22" s="36" t="str">
        <f t="shared" si="8"/>
        <v>OFF</v>
      </c>
      <c r="S22" s="36" t="str">
        <f t="shared" si="8"/>
        <v>OFF</v>
      </c>
      <c r="T22" s="36" t="str">
        <f>IF(OR($D22=T$2,$E22=T$2,$F22=T$2),"Day",IF($G22=T$2,"Night",IF(OR($H22=T$2,$I22=T$2),"FC3",IF($J22=T$2,"FC3 Night",IF(AND(COUNTA($D22:$G22)&lt;4,Summary!$AB$9&lt;Summary!$AB$2),"Yellow","")))))</f>
        <v/>
      </c>
      <c r="U22" s="36" t="str">
        <f t="shared" si="9"/>
        <v/>
      </c>
      <c r="V22" s="36" t="str">
        <f t="shared" si="9"/>
        <v/>
      </c>
      <c r="W22" s="36" t="str">
        <f t="shared" si="9"/>
        <v/>
      </c>
      <c r="X22" s="36" t="str">
        <f t="shared" si="9"/>
        <v/>
      </c>
      <c r="Y22" s="36" t="str">
        <f t="shared" si="9"/>
        <v/>
      </c>
      <c r="Z22" s="36" t="str">
        <f t="shared" si="9"/>
        <v/>
      </c>
      <c r="AA22" s="128">
        <v>46338</v>
      </c>
    </row>
    <row r="23" spans="1:27" ht="18" customHeight="1" x14ac:dyDescent="0.35">
      <c r="A23" s="127" t="s">
        <v>125</v>
      </c>
      <c r="B23" s="114" t="s">
        <v>32</v>
      </c>
      <c r="C23" s="114" t="s">
        <v>13</v>
      </c>
      <c r="D23" s="61" t="s">
        <v>44</v>
      </c>
      <c r="E23" s="62" t="s">
        <v>43</v>
      </c>
      <c r="F23" s="62" t="s">
        <v>46</v>
      </c>
      <c r="G23" s="64" t="s">
        <v>45</v>
      </c>
      <c r="H23" s="41"/>
      <c r="I23" s="35"/>
      <c r="J23" s="43"/>
      <c r="K23" s="36" t="str">
        <f>IF(OR($D23=K$2,$E23=K$2,$F23=K$2),"Day",IF($G23=K$2,"Night",IF(OR($H23=K$2,$I23=K$2),"FC3",IF($J23=K$2,"FC3 Night",""))))</f>
        <v/>
      </c>
      <c r="L23" s="36" t="str">
        <f>IF(OR($D23=L$2,$E23=L$2,$F23=L$2),"Day",IF($G23=L$2,"Night",IF(OR($H23=L$2,$I23=L$2),"FC3",IF($J23=L$2,"FC3 Night",IF(AND(COUNTA($D23:$G23)&lt;4,Summary!$T$9&lt;Summary!$T$2),"Yellow","")))))</f>
        <v/>
      </c>
      <c r="M23" s="36" t="str">
        <f>IF(OR($D23=M$2,$E23=M$2,$F23=M$2),"Day",IF($G23=M$2,"Night",IF(OR($H23=M$2,$I23=M$2),"FC3",IF($J23=M$2,"FC3 Night",""))))</f>
        <v>Day</v>
      </c>
      <c r="N23" s="36" t="str">
        <f t="shared" si="10"/>
        <v>Day</v>
      </c>
      <c r="O23" s="36" t="str">
        <f t="shared" si="10"/>
        <v>Night</v>
      </c>
      <c r="P23" s="36" t="str">
        <f>IF(OR($D23=P$2,$E23=P$2,$F23=P$2),"Day",IF($G23=P$2,"Night",IF(OR($H23=P$2,$I23=P$2),"FC3",IF($J23=P$2,"FC3 Night",""))))</f>
        <v>Day</v>
      </c>
      <c r="Q23" s="36" t="str">
        <f>IF(OR($D23=Q$2,$E23=Q$2,$F23=Q$2),"Day",IF($G23=Q$2,"Night",IF(OR($H23=Q$2,$I23=Q$2),"FC3",IF($J23=Q$2,"FC3 Night","OFF"))))</f>
        <v>OFF</v>
      </c>
      <c r="R23" s="36" t="str">
        <f>IF(OR($D23=R$2,$E23=R$2,$F23=R$2),"Day",IF($G23=R$2,"Night",IF(OR($H23=R$2,$I23=R$2),"FC3",IF($J23=R$2,"FC3 Night",""))))</f>
        <v/>
      </c>
      <c r="S23" s="36" t="str">
        <f t="shared" ref="S23:S32" si="11">IF(OR($D23=S$2,$E23=S$2,$F23=S$2),"Day",IF($G23=S$2,"Night",IF(OR($H23=S$2,$I23=S$2),"FC3",IF($J23=S$2,"FC3 Night","OFF"))))</f>
        <v>OFF</v>
      </c>
      <c r="T23" s="36" t="str">
        <f t="shared" ref="T23:T28" si="12">IF(OR($D23=T$2,$E23=T$2,$F23=T$2),"Day",IF($G23=T$2,"Night",IF(OR($H23=T$2,$I23=T$2),"FC3",IF($J23=T$2,"FC3 Night",""))))</f>
        <v/>
      </c>
      <c r="U23" s="36" t="str">
        <f t="shared" si="9"/>
        <v/>
      </c>
      <c r="V23" s="36" t="str">
        <f t="shared" si="9"/>
        <v/>
      </c>
      <c r="W23" s="36" t="str">
        <f t="shared" si="9"/>
        <v/>
      </c>
      <c r="X23" s="36" t="str">
        <f t="shared" si="9"/>
        <v/>
      </c>
      <c r="Y23" s="36" t="str">
        <f t="shared" si="9"/>
        <v/>
      </c>
      <c r="Z23" s="36" t="str">
        <f t="shared" si="9"/>
        <v/>
      </c>
      <c r="AA23" s="128">
        <v>46339</v>
      </c>
    </row>
    <row r="24" spans="1:27" ht="18" customHeight="1" x14ac:dyDescent="0.35">
      <c r="A24" s="129" t="s">
        <v>126</v>
      </c>
      <c r="B24" s="115" t="s">
        <v>33</v>
      </c>
      <c r="C24" s="115" t="s">
        <v>13</v>
      </c>
      <c r="D24" s="61" t="s">
        <v>48</v>
      </c>
      <c r="E24" s="62" t="s">
        <v>50</v>
      </c>
      <c r="F24" s="63" t="s">
        <v>105</v>
      </c>
      <c r="G24" s="67" t="s">
        <v>105</v>
      </c>
      <c r="H24" s="42"/>
      <c r="I24" s="37"/>
      <c r="J24" s="44"/>
      <c r="K24" s="38" t="str">
        <f>IF(OR($D24=K$2,$E24=K$2,$F24=K$2),"Day",IF($G24=K$2,"Night",IF(OR($H24=K$2,$I24=K$2),"FC3",IF($J24=K$2,"FC3 Night","OFF"))))</f>
        <v>OFF</v>
      </c>
      <c r="L24" s="38" t="str">
        <f>IF(OR($D24=L$2,$E24=L$2,$F24=L$2),"Day",IF($G24=L$2,"Night",IF(OR($H24=L$2,$I24=L$2),"FC3",IF($J24=L$2,"FC3 Night","OFF"))))</f>
        <v>OFF</v>
      </c>
      <c r="M24" s="38" t="str">
        <f>IF(OR($D24=M$2,$E24=M$2,$F24=M$2),"Day",IF($G24=M$2,"Night",IF(OR($H24=M$2,$I24=M$2),"FC3",IF($J24=M$2,"FC3 Night","OFF"))))</f>
        <v>OFF</v>
      </c>
      <c r="N24" s="38" t="str">
        <f>IF(OR($D24=N$2,$E24=N$2,$F24=N$2),"Day",IF($G24=N$2,"Night",IF(OR($H24=N$2,$I24=N$2),"FC3",IF($J24=N$2,"FC3 Night","OFF"))))</f>
        <v>OFF</v>
      </c>
      <c r="O24" s="38" t="str">
        <f>IF(OR($D24=O$2,$E24=O$2,$F24=O$2),"Day",IF($G24=O$2,"Night",IF(OR($H24=O$2,$I24=O$2),"FC3",IF($J24=O$2,"FC3 Night",IF(AND(COUNTA($D24:$G24)&lt;4,Summary!$W$9&lt;Summary!$W$2),"Yellow","")))))</f>
        <v/>
      </c>
      <c r="P24" s="38" t="str">
        <f>IF(OR($D24=P$2,$E24=P$2,$F24=P$2),"Day",IF($G24=P$2,"Night",IF(OR($H24=P$2,$I24=P$2),"FC3",IF($J24=P$2,"FC3 Night",IF(AND(COUNTA($D24:$G24)&lt;4,Summary!$X$9&lt;Summary!$X$2),"Yellow","")))))</f>
        <v/>
      </c>
      <c r="Q24" s="38" t="str">
        <f>IF(OR($D24=Q$2,$E24=Q$2,$F24=Q$2),"Day",IF($G24=Q$2,"Night",IF(OR($H24=Q$2,$I24=Q$2),"FC3",IF($J24=Q$2,"FC3 Night","OFF"))))</f>
        <v>OFF</v>
      </c>
      <c r="R24" s="38" t="str">
        <f>IF(OR($D24=R$2,$E24=R$2,$F24=R$2),"Day",IF($G24=R$2,"Night",IF(OR($H24=R$2,$I24=R$2),"FC3",IF($J24=R$2,"FC3 Night",""))))</f>
        <v>Day</v>
      </c>
      <c r="S24" s="38" t="str">
        <f t="shared" si="11"/>
        <v>OFF</v>
      </c>
      <c r="T24" s="38" t="str">
        <f t="shared" si="12"/>
        <v>Day</v>
      </c>
      <c r="U24" s="38" t="str">
        <f t="shared" si="9"/>
        <v/>
      </c>
      <c r="V24" s="38" t="str">
        <f t="shared" si="9"/>
        <v/>
      </c>
      <c r="W24" s="38" t="str">
        <f t="shared" si="9"/>
        <v/>
      </c>
      <c r="X24" s="38" t="str">
        <f t="shared" si="9"/>
        <v/>
      </c>
      <c r="Y24" s="38" t="str">
        <f t="shared" si="9"/>
        <v/>
      </c>
      <c r="Z24" s="38" t="str">
        <f t="shared" si="9"/>
        <v/>
      </c>
      <c r="AA24" s="128">
        <v>46340</v>
      </c>
    </row>
    <row r="25" spans="1:27" ht="18" customHeight="1" x14ac:dyDescent="0.35">
      <c r="A25" s="129" t="s">
        <v>127</v>
      </c>
      <c r="B25" s="115" t="s">
        <v>27</v>
      </c>
      <c r="C25" s="115" t="s">
        <v>13</v>
      </c>
      <c r="D25" s="61" t="s">
        <v>50</v>
      </c>
      <c r="E25" s="62" t="s">
        <v>48</v>
      </c>
      <c r="F25" s="63" t="s">
        <v>105</v>
      </c>
      <c r="G25" s="67" t="s">
        <v>105</v>
      </c>
      <c r="H25" s="42"/>
      <c r="I25" s="37"/>
      <c r="J25" s="44"/>
      <c r="K25" s="38" t="str">
        <f>IF(OR($D25=K$2,$E25=K$2,$F25=K$2),"Day",IF($G25=K$2,"Night",IF(OR($H25=K$2,$I25=K$2),"FC3",IF($J25=K$2,"FC3 Night","OFF"))))</f>
        <v>OFF</v>
      </c>
      <c r="L25" s="38" t="str">
        <f>IF(OR($D25=L$2,$E25=L$2,$F25=L$2),"Day",IF($G25=L$2,"Night",IF(OR($H25=L$2,$I25=L$2),"FC3",IF($J25=L$2,"FC3 Night","OFF"))))</f>
        <v>OFF</v>
      </c>
      <c r="M25" s="38" t="str">
        <f>IF(OR($D25=M$2,$E25=M$2,$F25=M$2),"Day",IF($G25=M$2,"Night",IF(OR($H25=M$2,$I25=M$2),"FC3",IF($J25=M$2,"FC3 Night","OFF"))))</f>
        <v>OFF</v>
      </c>
      <c r="N25" s="38" t="str">
        <f>IF(OR($D25=N$2,$E25=N$2,$F25=N$2),"Day",IF($G25=N$2,"Night",IF(OR($H25=N$2,$I25=N$2),"FC3",IF($J25=N$2,"FC3 Night",IF(AND(COUNTA($D25:$G25)&lt;4,Summary!$V$9&lt;Summary!$V$2),"Yellow","")))))</f>
        <v/>
      </c>
      <c r="O25" s="38" t="str">
        <f>IF(OR($D25=O$2,$E25=O$2,$F25=O$2),"Day",IF($G25=O$2,"Night",IF(OR($H25=O$2,$I25=O$2),"FC3",IF($J25=O$2,"FC3 Night","OFF"))))</f>
        <v>OFF</v>
      </c>
      <c r="P25" s="38" t="str">
        <f>IF(OR($D25=P$2,$E25=P$2,$F25=P$2),"Day",IF($G25=P$2,"Night",IF(OR($H25=P$2,$I25=P$2),"FC3",IF($J25=P$2,"FC3 Night","OFF"))))</f>
        <v>OFF</v>
      </c>
      <c r="Q25" s="38" t="str">
        <f>IF(OR($D25=Q$2,$E25=Q$2,$F25=Q$2),"Day",IF($G25=Q$2,"Night",IF(OR($H25=Q$2,$I25=Q$2),"FC3",IF($J25=Q$2,"FC3 Night","OFF"))))</f>
        <v>OFF</v>
      </c>
      <c r="R25" s="38" t="str">
        <f>IF(OR($D25=R$2,$E25=R$2,$F25=R$2),"Day",IF($G25=R$2,"Night",IF(OR($H25=R$2,$I25=R$2),"FC3",IF($J25=R$2,"FC3 Night",""))))</f>
        <v>Day</v>
      </c>
      <c r="S25" s="38" t="str">
        <f t="shared" si="11"/>
        <v>OFF</v>
      </c>
      <c r="T25" s="38" t="str">
        <f t="shared" si="12"/>
        <v>Day</v>
      </c>
      <c r="U25" s="38" t="str">
        <f t="shared" si="9"/>
        <v/>
      </c>
      <c r="V25" s="38" t="str">
        <f t="shared" si="9"/>
        <v/>
      </c>
      <c r="W25" s="38" t="str">
        <f t="shared" si="9"/>
        <v/>
      </c>
      <c r="X25" s="38" t="str">
        <f t="shared" si="9"/>
        <v/>
      </c>
      <c r="Y25" s="38" t="str">
        <f t="shared" si="9"/>
        <v/>
      </c>
      <c r="Z25" s="38" t="str">
        <f t="shared" si="9"/>
        <v/>
      </c>
      <c r="AA25" s="128">
        <v>46341</v>
      </c>
    </row>
    <row r="26" spans="1:27" ht="18" customHeight="1" x14ac:dyDescent="0.35">
      <c r="A26" s="127" t="s">
        <v>128</v>
      </c>
      <c r="B26" s="114" t="s">
        <v>28</v>
      </c>
      <c r="C26" s="114" t="s">
        <v>13</v>
      </c>
      <c r="D26" s="61" t="s">
        <v>43</v>
      </c>
      <c r="E26" s="62" t="s">
        <v>42</v>
      </c>
      <c r="F26" s="62" t="s">
        <v>2</v>
      </c>
      <c r="G26" s="64" t="s">
        <v>44</v>
      </c>
      <c r="H26" s="41"/>
      <c r="I26" s="35"/>
      <c r="J26" s="43"/>
      <c r="K26" s="36" t="str">
        <f t="shared" ref="K26:P28" si="13">IF(OR($D26=K$2,$E26=K$2,$F26=K$2),"Day",IF($G26=K$2,"Night",IF(OR($H26=K$2,$I26=K$2),"FC3",IF($J26=K$2,"FC3 Night",""))))</f>
        <v>Day</v>
      </c>
      <c r="L26" s="36" t="str">
        <f t="shared" si="13"/>
        <v>Day</v>
      </c>
      <c r="M26" s="36" t="str">
        <f t="shared" si="13"/>
        <v>Day</v>
      </c>
      <c r="N26" s="36" t="str">
        <f t="shared" si="13"/>
        <v>Night</v>
      </c>
      <c r="O26" s="36" t="str">
        <f t="shared" si="13"/>
        <v/>
      </c>
      <c r="P26" s="36" t="str">
        <f t="shared" si="13"/>
        <v/>
      </c>
      <c r="Q26" s="36" t="str">
        <f>IF(OR($D26=Q$2,$E26=Q$2,$F26=Q$2),"Day",IF($G26=Q$2,"Night",IF(OR($H26=Q$2,$I26=Q$2),"FC3",IF($J26=Q$2,"FC3 Night",IF(AND(COUNTA($D26:$G26)&lt;4,Summary!$Y$9&lt;Summary!$Y$2),"Yellow","")))))</f>
        <v/>
      </c>
      <c r="R26" s="36" t="str">
        <f>IF(OR($D26=R$2,$E26=R$2,$F26=R$2),"Day",IF($G26=R$2,"Night",IF(OR($H26=R$2,$I26=R$2),"FC3",IF($J26=R$2,"FC3 Night",""))))</f>
        <v/>
      </c>
      <c r="S26" s="36" t="str">
        <f t="shared" si="11"/>
        <v>OFF</v>
      </c>
      <c r="T26" s="36" t="str">
        <f t="shared" si="12"/>
        <v/>
      </c>
      <c r="U26" s="36" t="str">
        <f t="shared" si="9"/>
        <v/>
      </c>
      <c r="V26" s="36" t="str">
        <f t="shared" si="9"/>
        <v/>
      </c>
      <c r="W26" s="36" t="str">
        <f t="shared" si="9"/>
        <v/>
      </c>
      <c r="X26" s="36" t="str">
        <f t="shared" si="9"/>
        <v/>
      </c>
      <c r="Y26" s="36" t="str">
        <f t="shared" si="9"/>
        <v/>
      </c>
      <c r="Z26" s="36" t="str">
        <f t="shared" si="9"/>
        <v/>
      </c>
      <c r="AA26" s="128">
        <v>46342</v>
      </c>
    </row>
    <row r="27" spans="1:27" ht="18" customHeight="1" x14ac:dyDescent="0.35">
      <c r="A27" s="127" t="s">
        <v>129</v>
      </c>
      <c r="B27" s="114" t="s">
        <v>29</v>
      </c>
      <c r="C27" s="114" t="s">
        <v>13</v>
      </c>
      <c r="D27" s="61" t="s">
        <v>50</v>
      </c>
      <c r="E27" s="62" t="s">
        <v>43</v>
      </c>
      <c r="F27" s="62" t="s">
        <v>46</v>
      </c>
      <c r="G27" s="64" t="s">
        <v>44</v>
      </c>
      <c r="H27" s="41"/>
      <c r="I27" s="35"/>
      <c r="J27" s="43"/>
      <c r="K27" s="36" t="str">
        <f t="shared" si="13"/>
        <v/>
      </c>
      <c r="L27" s="36" t="str">
        <f t="shared" si="13"/>
        <v/>
      </c>
      <c r="M27" s="36" t="str">
        <f t="shared" si="13"/>
        <v>Day</v>
      </c>
      <c r="N27" s="36" t="str">
        <f t="shared" si="13"/>
        <v>Night</v>
      </c>
      <c r="O27" s="36" t="str">
        <f t="shared" si="13"/>
        <v/>
      </c>
      <c r="P27" s="36" t="str">
        <f t="shared" si="13"/>
        <v>Day</v>
      </c>
      <c r="Q27" s="36" t="str">
        <f t="shared" ref="Q27:Q32" si="14">IF(OR($D27=Q$2,$E27=Q$2,$F27=Q$2),"Day",IF($G27=Q$2,"Night",IF(OR($H27=Q$2,$I27=Q$2),"FC3",IF($J27=Q$2,"FC3 Night",""))))</f>
        <v/>
      </c>
      <c r="R27" s="36" t="str">
        <f>IF(OR($D27=R$2,$E27=R$2,$F27=R$2),"Day",IF($G27=R$2,"Night",IF(OR($H27=R$2,$I27=R$2),"FC3",IF($J27=R$2,"FC3 Night","PTO"))))</f>
        <v>PTO</v>
      </c>
      <c r="S27" s="36" t="str">
        <f t="shared" si="11"/>
        <v>OFF</v>
      </c>
      <c r="T27" s="36" t="str">
        <f t="shared" si="12"/>
        <v>Day</v>
      </c>
      <c r="U27" s="36" t="str">
        <f t="shared" si="9"/>
        <v/>
      </c>
      <c r="V27" s="36" t="str">
        <f t="shared" si="9"/>
        <v/>
      </c>
      <c r="W27" s="36" t="str">
        <f t="shared" si="9"/>
        <v/>
      </c>
      <c r="X27" s="36" t="str">
        <f t="shared" si="9"/>
        <v/>
      </c>
      <c r="Y27" s="36" t="str">
        <f t="shared" si="9"/>
        <v/>
      </c>
      <c r="Z27" s="36" t="str">
        <f t="shared" si="9"/>
        <v/>
      </c>
      <c r="AA27" s="128">
        <v>46343</v>
      </c>
    </row>
    <row r="28" spans="1:27" ht="18" customHeight="1" x14ac:dyDescent="0.35">
      <c r="A28" s="127" t="s">
        <v>130</v>
      </c>
      <c r="B28" s="114" t="s">
        <v>30</v>
      </c>
      <c r="C28" s="114" t="s">
        <v>13</v>
      </c>
      <c r="D28" s="61" t="s">
        <v>43</v>
      </c>
      <c r="E28" s="62" t="s">
        <v>47</v>
      </c>
      <c r="F28" s="62" t="s">
        <v>46</v>
      </c>
      <c r="G28" s="64" t="s">
        <v>44</v>
      </c>
      <c r="H28" s="41"/>
      <c r="I28" s="35"/>
      <c r="J28" s="43"/>
      <c r="K28" s="36" t="str">
        <f t="shared" si="13"/>
        <v/>
      </c>
      <c r="L28" s="36" t="str">
        <f t="shared" si="13"/>
        <v/>
      </c>
      <c r="M28" s="36" t="str">
        <f t="shared" si="13"/>
        <v>Day</v>
      </c>
      <c r="N28" s="36" t="str">
        <f t="shared" si="13"/>
        <v>Night</v>
      </c>
      <c r="O28" s="36" t="str">
        <f t="shared" si="13"/>
        <v/>
      </c>
      <c r="P28" s="36" t="str">
        <f t="shared" si="13"/>
        <v>Day</v>
      </c>
      <c r="Q28" s="36" t="str">
        <f t="shared" si="14"/>
        <v>Day</v>
      </c>
      <c r="R28" s="36" t="str">
        <f>IF(OR($D28=R$2,$E28=R$2,$F28=R$2),"Day",IF($G28=R$2,"Night",IF(OR($H28=R$2,$I28=R$2),"FC3",IF($J28=R$2,"FC3 Night",""))))</f>
        <v/>
      </c>
      <c r="S28" s="36" t="str">
        <f t="shared" si="11"/>
        <v>OFF</v>
      </c>
      <c r="T28" s="36" t="str">
        <f t="shared" si="12"/>
        <v/>
      </c>
      <c r="U28" s="36" t="str">
        <f t="shared" si="9"/>
        <v/>
      </c>
      <c r="V28" s="36" t="str">
        <f t="shared" si="9"/>
        <v/>
      </c>
      <c r="W28" s="36" t="str">
        <f t="shared" si="9"/>
        <v/>
      </c>
      <c r="X28" s="36" t="str">
        <f t="shared" si="9"/>
        <v/>
      </c>
      <c r="Y28" s="36" t="str">
        <f t="shared" si="9"/>
        <v/>
      </c>
      <c r="Z28" s="36" t="str">
        <f t="shared" si="9"/>
        <v/>
      </c>
      <c r="AA28" s="128">
        <v>46344</v>
      </c>
    </row>
    <row r="29" spans="1:27" ht="18" customHeight="1" x14ac:dyDescent="0.35">
      <c r="A29" s="127" t="s">
        <v>131</v>
      </c>
      <c r="B29" s="114" t="s">
        <v>31</v>
      </c>
      <c r="C29" s="114" t="s">
        <v>13</v>
      </c>
      <c r="D29" s="61" t="s">
        <v>45</v>
      </c>
      <c r="E29" s="62" t="s">
        <v>47</v>
      </c>
      <c r="F29" s="63" t="s">
        <v>105</v>
      </c>
      <c r="G29" s="64" t="s">
        <v>48</v>
      </c>
      <c r="H29" s="41"/>
      <c r="I29" s="35"/>
      <c r="J29" s="43"/>
      <c r="K29" s="36" t="str">
        <f t="shared" ref="K29:O30" si="15">IF(OR($D29=K$2,$E29=K$2,$F29=K$2),"Day",IF($G29=K$2,"Night",IF(OR($H29=K$2,$I29=K$2),"FC3",IF($J29=K$2,"FC3 Night",""))))</f>
        <v/>
      </c>
      <c r="L29" s="36" t="str">
        <f t="shared" si="15"/>
        <v/>
      </c>
      <c r="M29" s="36" t="str">
        <f t="shared" si="15"/>
        <v/>
      </c>
      <c r="N29" s="36" t="str">
        <f t="shared" si="15"/>
        <v/>
      </c>
      <c r="O29" s="36" t="str">
        <f t="shared" si="15"/>
        <v>Day</v>
      </c>
      <c r="P29" s="36" t="str">
        <f>IF(OR($D29=P$2,$E29=P$2,$F29=P$2),"Day",IF($G29=P$2,"Night",IF(OR($H29=P$2,$I29=P$2),"FC3",IF($J29=P$2,"FC3 Night","OFF"))))</f>
        <v>OFF</v>
      </c>
      <c r="Q29" s="36" t="str">
        <f t="shared" si="14"/>
        <v>Day</v>
      </c>
      <c r="R29" s="36" t="str">
        <f>IF(OR($D29=R$2,$E29=R$2,$F29=R$2),"Day",IF($G29=R$2,"Night",IF(OR($H29=R$2,$I29=R$2),"FC3",IF($J29=R$2,"FC3 Night",""))))</f>
        <v>Night</v>
      </c>
      <c r="S29" s="36" t="str">
        <f t="shared" si="11"/>
        <v>OFF</v>
      </c>
      <c r="T29" s="36" t="str">
        <f>IF(OR($D29=T$2,$E29=T$2,$F29=T$2),"Day",IF($G29=T$2,"Night",IF(OR($H29=T$2,$I29=T$2),"FC3",IF($J29=T$2,"FC3 Night",IF(AND(COUNTA($D29:$G29)&lt;4,Summary!$AB$9&lt;Summary!$AB$2),"Yellow","")))))</f>
        <v/>
      </c>
      <c r="U29" s="36" t="str">
        <f t="shared" si="9"/>
        <v/>
      </c>
      <c r="V29" s="36" t="str">
        <f t="shared" si="9"/>
        <v/>
      </c>
      <c r="W29" s="36" t="str">
        <f t="shared" si="9"/>
        <v/>
      </c>
      <c r="X29" s="36" t="str">
        <f t="shared" si="9"/>
        <v/>
      </c>
      <c r="Y29" s="36" t="str">
        <f t="shared" si="9"/>
        <v/>
      </c>
      <c r="Z29" s="36" t="str">
        <f t="shared" si="9"/>
        <v/>
      </c>
      <c r="AA29" s="128">
        <v>46345</v>
      </c>
    </row>
    <row r="30" spans="1:27" ht="18" customHeight="1" x14ac:dyDescent="0.35">
      <c r="A30" s="127" t="s">
        <v>132</v>
      </c>
      <c r="B30" s="114" t="s">
        <v>32</v>
      </c>
      <c r="C30" s="114" t="s">
        <v>13</v>
      </c>
      <c r="D30" s="61" t="s">
        <v>2</v>
      </c>
      <c r="E30" s="62" t="s">
        <v>45</v>
      </c>
      <c r="F30" s="63" t="s">
        <v>105</v>
      </c>
      <c r="G30" s="64" t="s">
        <v>48</v>
      </c>
      <c r="H30" s="41"/>
      <c r="I30" s="35"/>
      <c r="J30" s="43"/>
      <c r="K30" s="36" t="str">
        <f t="shared" si="15"/>
        <v>Day</v>
      </c>
      <c r="L30" s="36" t="str">
        <f t="shared" si="15"/>
        <v/>
      </c>
      <c r="M30" s="36" t="str">
        <f t="shared" si="15"/>
        <v/>
      </c>
      <c r="N30" s="36" t="str">
        <f t="shared" si="15"/>
        <v/>
      </c>
      <c r="O30" s="36" t="str">
        <f t="shared" si="15"/>
        <v>Day</v>
      </c>
      <c r="P30" s="36" t="str">
        <f>IF(OR($D30=P$2,$E30=P$2,$F30=P$2),"Day",IF($G30=P$2,"Night",IF(OR($H30=P$2,$I30=P$2),"FC3",IF($J30=P$2,"FC3 Night","OFF"))))</f>
        <v>OFF</v>
      </c>
      <c r="Q30" s="36" t="str">
        <f t="shared" si="14"/>
        <v/>
      </c>
      <c r="R30" s="36" t="str">
        <f>IF(OR($D30=R$2,$E30=R$2,$F30=R$2),"Day",IF($G30=R$2,"Night",IF(OR($H30=R$2,$I30=R$2),"FC3",IF($J30=R$2,"FC3 Night",""))))</f>
        <v>Night</v>
      </c>
      <c r="S30" s="36" t="str">
        <f t="shared" si="11"/>
        <v>OFF</v>
      </c>
      <c r="T30" s="36" t="str">
        <f>IF(OR($D30=T$2,$E30=T$2,$F30=T$2),"Day",IF($G30=T$2,"Night",IF(OR($H30=T$2,$I30=T$2),"FC3",IF($J30=T$2,"FC3 Night","OFF"))))</f>
        <v>OFF</v>
      </c>
      <c r="U30" s="36" t="str">
        <f t="shared" si="9"/>
        <v/>
      </c>
      <c r="V30" s="36" t="str">
        <f t="shared" si="9"/>
        <v/>
      </c>
      <c r="W30" s="36" t="str">
        <f t="shared" si="9"/>
        <v/>
      </c>
      <c r="X30" s="36" t="str">
        <f t="shared" si="9"/>
        <v/>
      </c>
      <c r="Y30" s="36" t="str">
        <f t="shared" si="9"/>
        <v/>
      </c>
      <c r="Z30" s="36" t="str">
        <f t="shared" si="9"/>
        <v/>
      </c>
      <c r="AA30" s="128">
        <v>46346</v>
      </c>
    </row>
    <row r="31" spans="1:27" ht="18" customHeight="1" x14ac:dyDescent="0.35">
      <c r="A31" s="129" t="s">
        <v>133</v>
      </c>
      <c r="B31" s="115" t="s">
        <v>33</v>
      </c>
      <c r="C31" s="115" t="s">
        <v>13</v>
      </c>
      <c r="D31" s="61" t="s">
        <v>42</v>
      </c>
      <c r="E31" s="62" t="s">
        <v>47</v>
      </c>
      <c r="F31" s="62" t="s">
        <v>2</v>
      </c>
      <c r="G31" s="64" t="s">
        <v>48</v>
      </c>
      <c r="H31" s="42"/>
      <c r="I31" s="37"/>
      <c r="J31" s="44"/>
      <c r="K31" s="38" t="str">
        <f t="shared" ref="K31:M32" si="16">IF(OR($D31=K$2,$E31=K$2,$F31=K$2),"Day",IF($G31=K$2,"Night",IF(OR($H31=K$2,$I31=K$2),"FC3",IF($J31=K$2,"FC3 Night",""))))</f>
        <v>Day</v>
      </c>
      <c r="L31" s="38" t="str">
        <f t="shared" si="16"/>
        <v>Day</v>
      </c>
      <c r="M31" s="38" t="str">
        <f t="shared" si="16"/>
        <v/>
      </c>
      <c r="N31" s="38" t="str">
        <f>IF(OR($D31=N$2,$E31=N$2,$F31=N$2),"Day",IF($G31=N$2,"Night",IF(OR($H31=N$2,$I31=N$2),"FC3",IF($J31=N$2,"FC3 Night",IF(AND(COUNTA($D31:$G31)&lt;4,Summary!$V$9&lt;Summary!$V$2),"Yellow","")))))</f>
        <v/>
      </c>
      <c r="O31" s="38" t="str">
        <f>IF(OR($D31=O$2,$E31=O$2,$F31=O$2),"Day",IF($G31=O$2,"Night",IF(OR($H31=O$2,$I31=O$2),"FC3",IF($J31=O$2,"FC3 Night","OFF"))))</f>
        <v>OFF</v>
      </c>
      <c r="P31" s="38" t="str">
        <f>IF(OR($D31=P$2,$E31=P$2,$F31=P$2),"Day",IF($G31=P$2,"Night",IF(OR($H31=P$2,$I31=P$2),"FC3",IF($J31=P$2,"FC3 Night","OFF"))))</f>
        <v>OFF</v>
      </c>
      <c r="Q31" s="38" t="str">
        <f t="shared" si="14"/>
        <v>Day</v>
      </c>
      <c r="R31" s="38" t="str">
        <f>IF(OR($D31=R$2,$E31=R$2,$F31=R$2),"Day",IF($G31=R$2,"Night",IF(OR($H31=R$2,$I31=R$2),"FC3",IF($J31=R$2,"FC3 Night",""))))</f>
        <v>Night</v>
      </c>
      <c r="S31" s="38" t="str">
        <f t="shared" si="11"/>
        <v>OFF</v>
      </c>
      <c r="T31" s="38" t="str">
        <f>IF(OR($D31=T$2,$E31=T$2,$F31=T$2),"Day",IF($G31=T$2,"Night",IF(OR($H31=T$2,$I31=T$2),"FC3",IF($J31=T$2,"FC3 Night","OFF"))))</f>
        <v>OFF</v>
      </c>
      <c r="U31" s="38" t="str">
        <f t="shared" si="9"/>
        <v/>
      </c>
      <c r="V31" s="38" t="str">
        <f t="shared" si="9"/>
        <v/>
      </c>
      <c r="W31" s="38" t="str">
        <f t="shared" si="9"/>
        <v/>
      </c>
      <c r="X31" s="38" t="str">
        <f t="shared" si="9"/>
        <v/>
      </c>
      <c r="Y31" s="38" t="str">
        <f t="shared" si="9"/>
        <v/>
      </c>
      <c r="Z31" s="38" t="str">
        <f t="shared" si="9"/>
        <v/>
      </c>
      <c r="AA31" s="128">
        <v>46347</v>
      </c>
    </row>
    <row r="32" spans="1:27" ht="18" customHeight="1" x14ac:dyDescent="0.35">
      <c r="A32" s="129" t="s">
        <v>134</v>
      </c>
      <c r="B32" s="115" t="s">
        <v>27</v>
      </c>
      <c r="C32" s="115" t="s">
        <v>13</v>
      </c>
      <c r="D32" s="61" t="s">
        <v>47</v>
      </c>
      <c r="E32" s="62" t="s">
        <v>2</v>
      </c>
      <c r="F32" s="62" t="s">
        <v>42</v>
      </c>
      <c r="G32" s="64" t="s">
        <v>43</v>
      </c>
      <c r="H32" s="42"/>
      <c r="I32" s="37"/>
      <c r="J32" s="44"/>
      <c r="K32" s="38" t="str">
        <f t="shared" si="16"/>
        <v>Day</v>
      </c>
      <c r="L32" s="38" t="str">
        <f t="shared" si="16"/>
        <v>Day</v>
      </c>
      <c r="M32" s="38" t="str">
        <f t="shared" si="16"/>
        <v>Night</v>
      </c>
      <c r="N32" s="38" t="str">
        <f>IF(OR($D32=N$2,$E32=N$2,$F32=N$2),"Day",IF($G32=N$2,"Night",IF(OR($H32=N$2,$I32=N$2),"FC3",IF($J32=N$2,"FC3 Night",IF(AND(COUNTA($D32:$G32)&lt;4,Summary!$V$9&lt;Summary!$V$2),"Yellow","")))))</f>
        <v/>
      </c>
      <c r="O32" s="38" t="str">
        <f>IF(OR($D32=O$2,$E32=O$2,$F32=O$2),"Day",IF($G32=O$2,"Night",IF(OR($H32=O$2,$I32=O$2),"FC3",IF($J32=O$2,"FC3 Night","OFF"))))</f>
        <v>OFF</v>
      </c>
      <c r="P32" s="38" t="str">
        <f>IF(OR($D32=P$2,$E32=P$2,$F32=P$2),"Day",IF($G32=P$2,"Night",IF(OR($H32=P$2,$I32=P$2),"FC3",IF($J32=P$2,"FC3 Night","OFF"))))</f>
        <v>OFF</v>
      </c>
      <c r="Q32" s="38" t="str">
        <f t="shared" si="14"/>
        <v>Day</v>
      </c>
      <c r="R32" s="38" t="str">
        <f>IF(OR($D32=R$2,$E32=R$2,$F32=R$2),"Day",IF($G32=R$2,"Night",IF(OR($H32=R$2,$I32=R$2),"FC3",IF($J32=R$2,"FC3 Night",""))))</f>
        <v/>
      </c>
      <c r="S32" s="38" t="str">
        <f t="shared" si="11"/>
        <v>OFF</v>
      </c>
      <c r="T32" s="38" t="str">
        <f>IF(OR($D32=T$2,$E32=T$2,$F32=T$2),"Day",IF($G32=T$2,"Night",IF(OR($H32=T$2,$I32=T$2),"FC3",IF($J32=T$2,"FC3 Night","OFF"))))</f>
        <v>OFF</v>
      </c>
      <c r="U32" s="38" t="str">
        <f t="shared" si="9"/>
        <v/>
      </c>
      <c r="V32" s="38" t="str">
        <f t="shared" si="9"/>
        <v/>
      </c>
      <c r="W32" s="38" t="str">
        <f t="shared" si="9"/>
        <v/>
      </c>
      <c r="X32" s="38" t="str">
        <f t="shared" si="9"/>
        <v/>
      </c>
      <c r="Y32" s="38" t="str">
        <f t="shared" si="9"/>
        <v/>
      </c>
      <c r="Z32" s="38" t="str">
        <f t="shared" si="9"/>
        <v/>
      </c>
      <c r="AA32" s="128">
        <v>46348</v>
      </c>
    </row>
    <row r="33" spans="1:27" ht="16" customHeight="1" x14ac:dyDescent="0.35">
      <c r="A33" s="130" t="s">
        <v>135</v>
      </c>
      <c r="B33" s="59"/>
      <c r="C33" s="59"/>
      <c r="D33" s="60"/>
      <c r="E33" s="34"/>
      <c r="F33" s="34"/>
      <c r="G33" s="40"/>
      <c r="H33" s="39"/>
      <c r="I33" s="34"/>
      <c r="J33" s="40"/>
      <c r="K33" s="33" t="s">
        <v>100</v>
      </c>
      <c r="L33" s="33" t="s">
        <v>100</v>
      </c>
      <c r="M33" s="33" t="s">
        <v>100</v>
      </c>
      <c r="N33" s="33" t="s">
        <v>100</v>
      </c>
      <c r="O33" s="33" t="s">
        <v>100</v>
      </c>
      <c r="P33" s="33" t="s">
        <v>136</v>
      </c>
      <c r="Q33" s="33" t="s">
        <v>100</v>
      </c>
      <c r="R33" s="33" t="s">
        <v>100</v>
      </c>
      <c r="S33" s="33" t="s">
        <v>103</v>
      </c>
      <c r="T33" s="33" t="s">
        <v>101</v>
      </c>
      <c r="U33" s="33" t="s">
        <v>103</v>
      </c>
      <c r="V33" s="33" t="s">
        <v>103</v>
      </c>
      <c r="W33" s="33" t="s">
        <v>103</v>
      </c>
      <c r="X33" s="33" t="s">
        <v>103</v>
      </c>
      <c r="Y33" s="33" t="s">
        <v>103</v>
      </c>
      <c r="Z33" s="33" t="s">
        <v>103</v>
      </c>
      <c r="AA33" s="131"/>
    </row>
    <row r="34" spans="1:27" ht="18" customHeight="1" x14ac:dyDescent="0.35">
      <c r="A34" s="127" t="s">
        <v>137</v>
      </c>
      <c r="B34" s="114" t="s">
        <v>28</v>
      </c>
      <c r="C34" s="114" t="s">
        <v>15</v>
      </c>
      <c r="D34" s="61" t="s">
        <v>2</v>
      </c>
      <c r="E34" s="62" t="s">
        <v>45</v>
      </c>
      <c r="F34" s="62" t="s">
        <v>42</v>
      </c>
      <c r="G34" s="64" t="s">
        <v>43</v>
      </c>
      <c r="H34" s="41"/>
      <c r="I34" s="35"/>
      <c r="J34" s="43"/>
      <c r="K34" s="36" t="str">
        <f t="shared" ref="K34:O35" si="17">IF(OR($D34=K$2,$E34=K$2,$F34=K$2),"Day",IF($G34=K$2,"Night",IF(OR($H34=K$2,$I34=K$2),"FC3",IF($J34=K$2,"FC3 Night",""))))</f>
        <v>Day</v>
      </c>
      <c r="L34" s="36" t="str">
        <f t="shared" si="17"/>
        <v>Day</v>
      </c>
      <c r="M34" s="36" t="str">
        <f t="shared" si="17"/>
        <v>Night</v>
      </c>
      <c r="N34" s="36" t="str">
        <f t="shared" si="17"/>
        <v/>
      </c>
      <c r="O34" s="36" t="str">
        <f t="shared" si="17"/>
        <v>Day</v>
      </c>
      <c r="P34" s="36" t="str">
        <f t="shared" ref="P34:P41" si="18">IF(OR($D34=P$2,$E34=P$2,$F34=P$2),"Day",IF($G34=P$2,"Night",IF(OR($H34=P$2,$I34=P$2),"FC3",IF($J34=P$2,"FC3 Night","OFF"))))</f>
        <v>OFF</v>
      </c>
      <c r="Q34" s="36" t="str">
        <f>IF(OR($D34=Q$2,$E34=Q$2,$F34=Q$2),"Day",IF($G34=Q$2,"Night",IF(OR($H34=Q$2,$I34=Q$2),"FC3",IF($J34=Q$2,"FC3 Night",""))))</f>
        <v/>
      </c>
      <c r="R34" s="36" t="str">
        <f>IF(OR($D34=R$2,$E34=R$2,$F34=R$2),"Day",IF($G34=R$2,"Night",IF(OR($H34=R$2,$I34=R$2),"FC3",IF($J34=R$2,"FC3 Night",""))))</f>
        <v/>
      </c>
      <c r="S34" s="36" t="str">
        <f>IF(OR($D34=S$2,$E34=S$2,$F34=S$2),"Day",IF($G34=S$2,"Night",IF(OR($H34=S$2,$I34=S$2),"FC3",IF($J34=S$2,"FC3 Night","OFF"))))</f>
        <v>OFF</v>
      </c>
      <c r="T34" s="36" t="str">
        <f>IF(OR($D34=T$2,$E34=T$2,$F34=T$2),"Day",IF($G34=T$2,"Night",IF(OR($H34=T$2,$I34=T$2),"FC3",IF($J34=T$2,"FC3 Night","OFF"))))</f>
        <v>OFF</v>
      </c>
      <c r="U34" s="36" t="str">
        <f t="shared" ref="U34:Z47" si="19">IF(OR($D34=U$2,$E34=U$2,$F34=U$2),"Day",IF($G34=U$2,"Night",IF(OR($H34=U$2,$I34=U$2),"FC3",IF($J34=U$2,"FC3 Night",""))))</f>
        <v/>
      </c>
      <c r="V34" s="36" t="str">
        <f t="shared" si="19"/>
        <v/>
      </c>
      <c r="W34" s="36" t="str">
        <f t="shared" si="19"/>
        <v/>
      </c>
      <c r="X34" s="36" t="str">
        <f t="shared" si="19"/>
        <v/>
      </c>
      <c r="Y34" s="36" t="str">
        <f t="shared" si="19"/>
        <v/>
      </c>
      <c r="Z34" s="36" t="str">
        <f t="shared" si="19"/>
        <v/>
      </c>
      <c r="AA34" s="128">
        <v>46349</v>
      </c>
    </row>
    <row r="35" spans="1:27" ht="18" customHeight="1" x14ac:dyDescent="0.35">
      <c r="A35" s="127" t="s">
        <v>138</v>
      </c>
      <c r="B35" s="114" t="s">
        <v>29</v>
      </c>
      <c r="C35" s="114" t="s">
        <v>15</v>
      </c>
      <c r="D35" s="61" t="s">
        <v>42</v>
      </c>
      <c r="E35" s="62" t="s">
        <v>47</v>
      </c>
      <c r="F35" s="62" t="s">
        <v>45</v>
      </c>
      <c r="G35" s="64" t="s">
        <v>43</v>
      </c>
      <c r="H35" s="41"/>
      <c r="I35" s="35"/>
      <c r="J35" s="43"/>
      <c r="K35" s="36" t="str">
        <f t="shared" si="17"/>
        <v/>
      </c>
      <c r="L35" s="36" t="str">
        <f t="shared" si="17"/>
        <v>Day</v>
      </c>
      <c r="M35" s="36" t="str">
        <f t="shared" si="17"/>
        <v>Night</v>
      </c>
      <c r="N35" s="36" t="str">
        <f t="shared" si="17"/>
        <v/>
      </c>
      <c r="O35" s="36" t="str">
        <f t="shared" si="17"/>
        <v>Day</v>
      </c>
      <c r="P35" s="36" t="str">
        <f t="shared" si="18"/>
        <v>OFF</v>
      </c>
      <c r="Q35" s="36" t="str">
        <f>IF(OR($D35=Q$2,$E35=Q$2,$F35=Q$2),"Day",IF($G35=Q$2,"Night",IF(OR($H35=Q$2,$I35=Q$2),"FC3",IF($J35=Q$2,"FC3 Night",""))))</f>
        <v>Day</v>
      </c>
      <c r="R35" s="36" t="str">
        <f>IF(OR($D35=R$2,$E35=R$2,$F35=R$2),"Day",IF($G35=R$2,"Night",IF(OR($H35=R$2,$I35=R$2),"FC3",IF($J35=R$2,"FC3 Night",""))))</f>
        <v/>
      </c>
      <c r="S35" s="36" t="str">
        <f t="shared" ref="S35:S47" si="20">IF(OR($D35=S$2,$E35=S$2,$F35=S$2),"Day",IF($G35=S$2,"Night",IF(OR($H35=S$2,$I35=S$2),"FC3",IF($J35=S$2,"FC3 Night","OFF"))))</f>
        <v>OFF</v>
      </c>
      <c r="T35" s="36" t="str">
        <f>IF(OR($D35=T$2,$E35=T$2,$F35=T$2),"Day",IF($G35=T$2,"Night",IF(OR($H35=T$2,$I35=T$2),"FC3",IF($J35=T$2,"FC3 Night",IF(AND(COUNTA($D35:$G35)&lt;4,Summary!$AB$10&lt;Summary!$AB$3),"Yellow","")))))</f>
        <v/>
      </c>
      <c r="U35" s="36" t="str">
        <f t="shared" si="19"/>
        <v/>
      </c>
      <c r="V35" s="36" t="str">
        <f t="shared" si="19"/>
        <v/>
      </c>
      <c r="W35" s="36" t="str">
        <f t="shared" si="19"/>
        <v/>
      </c>
      <c r="X35" s="36" t="str">
        <f t="shared" si="19"/>
        <v/>
      </c>
      <c r="Y35" s="36" t="str">
        <f t="shared" si="19"/>
        <v/>
      </c>
      <c r="Z35" s="36" t="str">
        <f t="shared" si="19"/>
        <v/>
      </c>
      <c r="AA35" s="128">
        <v>46350</v>
      </c>
    </row>
    <row r="36" spans="1:27" ht="18" customHeight="1" x14ac:dyDescent="0.35">
      <c r="A36" s="127" t="s">
        <v>139</v>
      </c>
      <c r="B36" s="114" t="s">
        <v>30</v>
      </c>
      <c r="C36" s="114" t="s">
        <v>15</v>
      </c>
      <c r="D36" s="61" t="s">
        <v>47</v>
      </c>
      <c r="E36" s="62" t="s">
        <v>45</v>
      </c>
      <c r="F36" s="63" t="s">
        <v>2</v>
      </c>
      <c r="G36" s="65" t="s">
        <v>105</v>
      </c>
      <c r="H36" s="41"/>
      <c r="I36" s="35"/>
      <c r="J36" s="43"/>
      <c r="K36" s="36" t="str">
        <f>IF(OR($D36=K$2,$E36=K$2,$F36=K$2),"Day",IF($G36=K$2,"Night",IF(OR($H36=K$2,$I36=K$2),"FC3",IF($J36=K$2,"FC3 Night",IF(AND(COUNTA($D36:$G36)&lt;4,Summary!$S$10&lt;Summary!$S$3),"Yellow","")))))</f>
        <v>Day</v>
      </c>
      <c r="L36" s="36" t="str">
        <f>IF(OR($D36=L$2,$E36=L$2,$F36=L$2),"Day",IF($G36=L$2,"Night",IF(OR($H36=L$2,$I36=L$2),"FC3",IF($J36=L$2,"FC3 Night",IF(AND(COUNTA($D36:$G36)&lt;4,Summary!$T$10&lt;Summary!$T$3),"Yellow","")))))</f>
        <v/>
      </c>
      <c r="M36" s="36" t="str">
        <f>IF(OR($D36=M$2,$E36=M$2,$F36=M$2),"Day",IF($G36=M$2,"Night",IF(OR($H36=M$2,$I36=M$2),"FC3",IF($J36=M$2,"FC3 Night",IF(AND(COUNTA($D36:$G36)&lt;4,Summary!$U$10&lt;Summary!$U$3),"Yellow","")))))</f>
        <v/>
      </c>
      <c r="N36" s="36" t="str">
        <f>IF(OR($D36=N$2,$E36=N$2,$F36=N$2),"Day",IF($G36=N$2,"Night",IF(OR($H36=N$2,$I36=N$2),"FC3",IF($J36=N$2,"FC3 Night",""))))</f>
        <v/>
      </c>
      <c r="O36" s="36" t="str">
        <f>IF(OR($D36=O$2,$E36=O$2,$F36=O$2),"Day",IF($G36=O$2,"Night",IF(OR($H36=O$2,$I36=O$2),"FC3",IF($J36=O$2,"FC3 Night",""))))</f>
        <v>Day</v>
      </c>
      <c r="P36" s="36" t="str">
        <f t="shared" si="18"/>
        <v>OFF</v>
      </c>
      <c r="Q36" s="36" t="str">
        <f>IF(OR($D36=Q$2,$E36=Q$2,$F36=Q$2),"Day",IF($G36=Q$2,"Night",IF(OR($H36=Q$2,$I36=Q$2),"FC3",IF($J36=Q$2,"FC3 Night",IF(AND(COUNTA($D36:$G36)&lt;4,Summary!$Y$10&lt;Summary!$Y$3),"Yellow","")))))</f>
        <v>Day</v>
      </c>
      <c r="R36" s="36" t="str">
        <f t="shared" ref="R36:R45" si="21">IF(OR($D36=R$2,$E36=R$2,$F36=R$2),"Day",IF($G36=R$2,"Night",IF(OR($H36=R$2,$I36=R$2),"FC3",IF($J36=R$2,"FC3 Night",""))))</f>
        <v/>
      </c>
      <c r="S36" s="36" t="str">
        <f t="shared" si="20"/>
        <v>OFF</v>
      </c>
      <c r="T36" s="36" t="str">
        <f>IF(OR($D36=T$2,$E36=T$2,$F36=T$2),"Day",IF($G36=T$2,"Night",IF(OR($H36=T$2,$I36=T$2),"FC3",IF($J36=T$2,"FC3 Night",IF(AND(COUNTA($D36:$G36)&lt;4,Summary!$AB$10&lt;Summary!$AB$3),"Yellow","")))))</f>
        <v/>
      </c>
      <c r="U36" s="36" t="str">
        <f t="shared" si="19"/>
        <v/>
      </c>
      <c r="V36" s="36" t="str">
        <f t="shared" si="19"/>
        <v/>
      </c>
      <c r="W36" s="36" t="str">
        <f t="shared" si="19"/>
        <v/>
      </c>
      <c r="X36" s="36" t="str">
        <f t="shared" si="19"/>
        <v/>
      </c>
      <c r="Y36" s="36" t="str">
        <f t="shared" si="19"/>
        <v/>
      </c>
      <c r="Z36" s="36" t="str">
        <f t="shared" si="19"/>
        <v/>
      </c>
      <c r="AA36" s="128">
        <v>46351</v>
      </c>
    </row>
    <row r="37" spans="1:27" ht="18" customHeight="1" x14ac:dyDescent="0.35">
      <c r="A37" s="127" t="s">
        <v>140</v>
      </c>
      <c r="B37" s="114" t="s">
        <v>31</v>
      </c>
      <c r="C37" s="114" t="s">
        <v>15</v>
      </c>
      <c r="D37" s="61" t="s">
        <v>48</v>
      </c>
      <c r="E37" s="62" t="s">
        <v>44</v>
      </c>
      <c r="F37" s="63" t="s">
        <v>105</v>
      </c>
      <c r="G37" s="65" t="s">
        <v>105</v>
      </c>
      <c r="H37" s="41"/>
      <c r="I37" s="35"/>
      <c r="J37" s="43"/>
      <c r="K37" s="36" t="str">
        <f t="shared" ref="K37:M40" si="22">IF(OR($D37=K$2,$E37=K$2,$F37=K$2),"Day",IF($G37=K$2,"Night",IF(OR($H37=K$2,$I37=K$2),"FC3",IF($J37=K$2,"FC3 Night","OFF"))))</f>
        <v>OFF</v>
      </c>
      <c r="L37" s="36" t="str">
        <f t="shared" si="22"/>
        <v>OFF</v>
      </c>
      <c r="M37" s="36" t="str">
        <f t="shared" si="22"/>
        <v>OFF</v>
      </c>
      <c r="N37" s="36" t="str">
        <f t="shared" ref="N37:N47" si="23">IF(OR($D37=N$2,$E37=N$2,$F37=N$2),"Day",IF($G37=N$2,"Night",IF(OR($H37=N$2,$I37=N$2),"FC3",IF($J37=N$2,"FC3 Night",""))))</f>
        <v>Day</v>
      </c>
      <c r="O37" s="36" t="str">
        <f>IF(OR($D37=O$2,$E37=O$2,$F37=O$2),"Day",IF($G37=O$2,"Night",IF(OR($H37=O$2,$I37=O$2),"FC3",IF($J37=O$2,"FC3 Night","OFF"))))</f>
        <v>OFF</v>
      </c>
      <c r="P37" s="36" t="str">
        <f t="shared" si="18"/>
        <v>OFF</v>
      </c>
      <c r="Q37" s="36" t="str">
        <f>IF(OR($D37=Q$2,$E37=Q$2,$F37=Q$2),"Day",IF($G37=Q$2,"Night",IF(OR($H37=Q$2,$I37=Q$2),"FC3",IF($J37=Q$2,"FC3 Night","OFF"))))</f>
        <v>OFF</v>
      </c>
      <c r="R37" s="36" t="str">
        <f t="shared" si="21"/>
        <v>Day</v>
      </c>
      <c r="S37" s="36" t="str">
        <f t="shared" si="20"/>
        <v>OFF</v>
      </c>
      <c r="T37" s="36" t="str">
        <f>IF(OR($D37=T$2,$E37=T$2,$F37=T$2),"Day",IF($G37=T$2,"Night",IF(OR($H37=T$2,$I37=T$2),"FC3",IF($J37=T$2,"FC3 Night","OFF"))))</f>
        <v>OFF</v>
      </c>
      <c r="U37" s="36" t="str">
        <f t="shared" si="19"/>
        <v/>
      </c>
      <c r="V37" s="36" t="str">
        <f t="shared" si="19"/>
        <v/>
      </c>
      <c r="W37" s="36" t="str">
        <f t="shared" si="19"/>
        <v/>
      </c>
      <c r="X37" s="36" t="str">
        <f t="shared" si="19"/>
        <v/>
      </c>
      <c r="Y37" s="36" t="str">
        <f t="shared" si="19"/>
        <v/>
      </c>
      <c r="Z37" s="36" t="str">
        <f t="shared" si="19"/>
        <v/>
      </c>
      <c r="AA37" s="128">
        <v>46352</v>
      </c>
    </row>
    <row r="38" spans="1:27" ht="18" customHeight="1" x14ac:dyDescent="0.35">
      <c r="A38" s="127" t="s">
        <v>141</v>
      </c>
      <c r="B38" s="114" t="s">
        <v>32</v>
      </c>
      <c r="C38" s="114" t="s">
        <v>15</v>
      </c>
      <c r="D38" s="61" t="s">
        <v>48</v>
      </c>
      <c r="E38" s="62" t="s">
        <v>44</v>
      </c>
      <c r="F38" s="63" t="s">
        <v>105</v>
      </c>
      <c r="G38" s="65" t="s">
        <v>105</v>
      </c>
      <c r="H38" s="41"/>
      <c r="I38" s="35"/>
      <c r="J38" s="43"/>
      <c r="K38" s="36" t="str">
        <f t="shared" si="22"/>
        <v>OFF</v>
      </c>
      <c r="L38" s="36" t="str">
        <f t="shared" si="22"/>
        <v>OFF</v>
      </c>
      <c r="M38" s="36" t="str">
        <f t="shared" si="22"/>
        <v>OFF</v>
      </c>
      <c r="N38" s="36" t="str">
        <f t="shared" si="23"/>
        <v>Day</v>
      </c>
      <c r="O38" s="36" t="str">
        <f>IF(OR($D38=O$2,$E38=O$2,$F38=O$2),"Day",IF($G38=O$2,"Night",IF(OR($H38=O$2,$I38=O$2),"FC3",IF($J38=O$2,"FC3 Night","OFF"))))</f>
        <v>OFF</v>
      </c>
      <c r="P38" s="36" t="str">
        <f t="shared" si="18"/>
        <v>OFF</v>
      </c>
      <c r="Q38" s="36" t="str">
        <f>IF(OR($D38=Q$2,$E38=Q$2,$F38=Q$2),"Day",IF($G38=Q$2,"Night",IF(OR($H38=Q$2,$I38=Q$2),"FC3",IF($J38=Q$2,"FC3 Night","OFF"))))</f>
        <v>OFF</v>
      </c>
      <c r="R38" s="36" t="str">
        <f t="shared" si="21"/>
        <v>Day</v>
      </c>
      <c r="S38" s="36" t="str">
        <f t="shared" si="20"/>
        <v>OFF</v>
      </c>
      <c r="T38" s="36" t="str">
        <f>IF(OR($D38=T$2,$E38=T$2,$F38=T$2),"Day",IF($G38=T$2,"Night",IF(OR($H38=T$2,$I38=T$2),"FC3",IF($J38=T$2,"FC3 Night","OFF"))))</f>
        <v>OFF</v>
      </c>
      <c r="U38" s="36" t="str">
        <f t="shared" si="19"/>
        <v/>
      </c>
      <c r="V38" s="36" t="str">
        <f t="shared" si="19"/>
        <v/>
      </c>
      <c r="W38" s="36" t="str">
        <f t="shared" si="19"/>
        <v/>
      </c>
      <c r="X38" s="36" t="str">
        <f t="shared" si="19"/>
        <v/>
      </c>
      <c r="Y38" s="36" t="str">
        <f t="shared" si="19"/>
        <v/>
      </c>
      <c r="Z38" s="36" t="str">
        <f t="shared" si="19"/>
        <v/>
      </c>
      <c r="AA38" s="128">
        <v>46353</v>
      </c>
    </row>
    <row r="39" spans="1:27" ht="18" customHeight="1" x14ac:dyDescent="0.35">
      <c r="A39" s="129" t="s">
        <v>142</v>
      </c>
      <c r="B39" s="115" t="s">
        <v>33</v>
      </c>
      <c r="C39" s="115" t="s">
        <v>15</v>
      </c>
      <c r="D39" s="61" t="s">
        <v>44</v>
      </c>
      <c r="E39" s="66" t="s">
        <v>48</v>
      </c>
      <c r="F39" s="63" t="s">
        <v>105</v>
      </c>
      <c r="G39" s="67" t="s">
        <v>105</v>
      </c>
      <c r="H39" s="42"/>
      <c r="I39" s="37"/>
      <c r="J39" s="44"/>
      <c r="K39" s="38" t="str">
        <f t="shared" si="22"/>
        <v>OFF</v>
      </c>
      <c r="L39" s="38" t="str">
        <f t="shared" si="22"/>
        <v>OFF</v>
      </c>
      <c r="M39" s="38" t="str">
        <f t="shared" si="22"/>
        <v>OFF</v>
      </c>
      <c r="N39" s="38" t="str">
        <f t="shared" si="23"/>
        <v>Day</v>
      </c>
      <c r="O39" s="38" t="str">
        <f>IF(OR($D39=O$2,$E39=O$2,$F39=O$2),"Day",IF($G39=O$2,"Night",IF(OR($H39=O$2,$I39=O$2),"FC3",IF($J39=O$2,"FC3 Night","OFF"))))</f>
        <v>OFF</v>
      </c>
      <c r="P39" s="38" t="str">
        <f t="shared" si="18"/>
        <v>OFF</v>
      </c>
      <c r="Q39" s="38" t="str">
        <f>IF(OR($D39=Q$2,$E39=Q$2,$F39=Q$2),"Day",IF($G39=Q$2,"Night",IF(OR($H39=Q$2,$I39=Q$2),"FC3",IF($J39=Q$2,"FC3 Night","OFF"))))</f>
        <v>OFF</v>
      </c>
      <c r="R39" s="38" t="str">
        <f t="shared" si="21"/>
        <v>Day</v>
      </c>
      <c r="S39" s="38" t="str">
        <f t="shared" si="20"/>
        <v>OFF</v>
      </c>
      <c r="T39" s="38" t="str">
        <f>IF(OR($D39=T$2,$E39=T$2,$F39=T$2),"Day",IF($G39=T$2,"Night",IF(OR($H39=T$2,$I39=T$2),"FC3",IF($J39=T$2,"FC3 Night",IF(AND(COUNTA($D39:$G39)&lt;4,Summary!$AB$10&lt;Summary!$AB$3),"Yellow","")))))</f>
        <v/>
      </c>
      <c r="U39" s="38" t="str">
        <f t="shared" si="19"/>
        <v/>
      </c>
      <c r="V39" s="38" t="str">
        <f t="shared" si="19"/>
        <v/>
      </c>
      <c r="W39" s="38" t="str">
        <f t="shared" si="19"/>
        <v/>
      </c>
      <c r="X39" s="38" t="str">
        <f t="shared" si="19"/>
        <v/>
      </c>
      <c r="Y39" s="38" t="str">
        <f t="shared" si="19"/>
        <v/>
      </c>
      <c r="Z39" s="38" t="str">
        <f t="shared" si="19"/>
        <v/>
      </c>
      <c r="AA39" s="128">
        <v>46354</v>
      </c>
    </row>
    <row r="40" spans="1:27" ht="18" customHeight="1" x14ac:dyDescent="0.35">
      <c r="A40" s="129" t="s">
        <v>143</v>
      </c>
      <c r="B40" s="115" t="s">
        <v>27</v>
      </c>
      <c r="C40" s="115" t="s">
        <v>15</v>
      </c>
      <c r="D40" s="61" t="s">
        <v>44</v>
      </c>
      <c r="E40" s="62" t="s">
        <v>48</v>
      </c>
      <c r="F40" s="63" t="s">
        <v>2</v>
      </c>
      <c r="G40" s="64" t="s">
        <v>50</v>
      </c>
      <c r="H40" s="42"/>
      <c r="I40" s="37"/>
      <c r="J40" s="44"/>
      <c r="K40" s="38" t="str">
        <f t="shared" si="22"/>
        <v>Day</v>
      </c>
      <c r="L40" s="38" t="str">
        <f t="shared" si="22"/>
        <v>OFF</v>
      </c>
      <c r="M40" s="38" t="str">
        <f t="shared" si="22"/>
        <v>OFF</v>
      </c>
      <c r="N40" s="38" t="str">
        <f t="shared" si="23"/>
        <v>Day</v>
      </c>
      <c r="O40" s="38" t="str">
        <f>IF(OR($D40=O$2,$E40=O$2,$F40=O$2),"Day",IF($G40=O$2,"Night",IF(OR($H40=O$2,$I40=O$2),"FC3",IF($J40=O$2,"FC3 Night","OFF"))))</f>
        <v>OFF</v>
      </c>
      <c r="P40" s="38" t="str">
        <f t="shared" si="18"/>
        <v>OFF</v>
      </c>
      <c r="Q40" s="38" t="str">
        <f>IF(OR($D40=Q$2,$E40=Q$2,$F40=Q$2),"Day",IF($G40=Q$2,"Night",IF(OR($H40=Q$2,$I40=Q$2),"FC3",IF($J40=Q$2,"FC3 Night","OFF"))))</f>
        <v>OFF</v>
      </c>
      <c r="R40" s="38" t="str">
        <f t="shared" si="21"/>
        <v>Day</v>
      </c>
      <c r="S40" s="38" t="str">
        <f t="shared" si="20"/>
        <v>OFF</v>
      </c>
      <c r="T40" s="38" t="str">
        <f>IF(OR($D40=T$2,$E40=T$2,$F40=T$2),"Day",IF($G40=T$2,"Night",IF(OR($H40=T$2,$I40=T$2),"FC3",IF($J40=T$2,"FC3 Night",""))))</f>
        <v>Night</v>
      </c>
      <c r="U40" s="38" t="str">
        <f t="shared" si="19"/>
        <v/>
      </c>
      <c r="V40" s="38" t="str">
        <f t="shared" si="19"/>
        <v/>
      </c>
      <c r="W40" s="38" t="str">
        <f t="shared" si="19"/>
        <v/>
      </c>
      <c r="X40" s="38" t="str">
        <f t="shared" si="19"/>
        <v/>
      </c>
      <c r="Y40" s="38" t="str">
        <f t="shared" si="19"/>
        <v/>
      </c>
      <c r="Z40" s="38" t="str">
        <f t="shared" si="19"/>
        <v/>
      </c>
      <c r="AA40" s="128">
        <v>46355</v>
      </c>
    </row>
    <row r="41" spans="1:27" ht="18" customHeight="1" x14ac:dyDescent="0.35">
      <c r="A41" s="127" t="s">
        <v>144</v>
      </c>
      <c r="B41" s="114" t="s">
        <v>28</v>
      </c>
      <c r="C41" s="114" t="s">
        <v>15</v>
      </c>
      <c r="D41" s="61" t="s">
        <v>43</v>
      </c>
      <c r="E41" s="62" t="s">
        <v>45</v>
      </c>
      <c r="F41" s="62" t="s">
        <v>2</v>
      </c>
      <c r="G41" s="64" t="s">
        <v>50</v>
      </c>
      <c r="H41" s="41"/>
      <c r="I41" s="35"/>
      <c r="J41" s="43"/>
      <c r="K41" s="36" t="str">
        <f t="shared" ref="K41:K47" si="24">IF(OR($D41=K$2,$E41=K$2,$F41=K$2),"Day",IF($G41=K$2,"Night",IF(OR($H41=K$2,$I41=K$2),"FC3",IF($J41=K$2,"FC3 Night",""))))</f>
        <v>Day</v>
      </c>
      <c r="L41" s="36" t="str">
        <f>IF(OR($D41=L$2,$E41=L$2,$F41=L$2),"Day",IF($G41=L$2,"Night",IF(OR($H41=L$2,$I41=L$2),"FC3",IF($J41=L$2,"FC3 Night",IF(AND(COUNTA($D41:$G41)&lt;4,Summary!$T$10&lt;Summary!$T$3),"Yellow","")))))</f>
        <v/>
      </c>
      <c r="M41" s="36" t="str">
        <f t="shared" ref="M41:M47" si="25">IF(OR($D41=M$2,$E41=M$2,$F41=M$2),"Day",IF($G41=M$2,"Night",IF(OR($H41=M$2,$I41=M$2),"FC3",IF($J41=M$2,"FC3 Night",""))))</f>
        <v>Day</v>
      </c>
      <c r="N41" s="36" t="str">
        <f t="shared" si="23"/>
        <v/>
      </c>
      <c r="O41" s="36" t="str">
        <f t="shared" ref="O41:O47" si="26">IF(OR($D41=O$2,$E41=O$2,$F41=O$2),"Day",IF($G41=O$2,"Night",IF(OR($H41=O$2,$I41=O$2),"FC3",IF($J41=O$2,"FC3 Night",""))))</f>
        <v>Day</v>
      </c>
      <c r="P41" s="36" t="str">
        <f t="shared" si="18"/>
        <v>OFF</v>
      </c>
      <c r="Q41" s="36" t="str">
        <f>IF(OR($D41=Q$2,$E41=Q$2,$F41=Q$2),"Day",IF($G41=Q$2,"Night",IF(OR($H41=Q$2,$I41=Q$2),"FC3",IF($J41=Q$2,"FC3 Night",IF(AND(COUNTA($D41:$G41)&lt;4,Summary!$Y$10&lt;Summary!$Y$3),"Yellow","")))))</f>
        <v/>
      </c>
      <c r="R41" s="36" t="str">
        <f t="shared" si="21"/>
        <v/>
      </c>
      <c r="S41" s="36" t="str">
        <f t="shared" si="20"/>
        <v>OFF</v>
      </c>
      <c r="T41" s="36" t="str">
        <f>IF(OR($D41=T$2,$E41=T$2,$F41=T$2),"Day",IF($G41=T$2,"Night",IF(OR($H41=T$2,$I41=T$2),"FC3",IF($J41=T$2,"FC3 Night",""))))</f>
        <v>Night</v>
      </c>
      <c r="U41" s="36" t="str">
        <f t="shared" si="19"/>
        <v/>
      </c>
      <c r="V41" s="36" t="str">
        <f t="shared" si="19"/>
        <v/>
      </c>
      <c r="W41" s="36" t="str">
        <f t="shared" si="19"/>
        <v/>
      </c>
      <c r="X41" s="36" t="str">
        <f t="shared" si="19"/>
        <v/>
      </c>
      <c r="Y41" s="36" t="str">
        <f t="shared" si="19"/>
        <v/>
      </c>
      <c r="Z41" s="36" t="str">
        <f t="shared" si="19"/>
        <v/>
      </c>
      <c r="AA41" s="128">
        <v>46356</v>
      </c>
    </row>
    <row r="42" spans="1:27" ht="18" customHeight="1" x14ac:dyDescent="0.35">
      <c r="A42" s="127" t="s">
        <v>145</v>
      </c>
      <c r="B42" s="114" t="s">
        <v>29</v>
      </c>
      <c r="C42" s="114" t="s">
        <v>15</v>
      </c>
      <c r="D42" s="61" t="s">
        <v>47</v>
      </c>
      <c r="E42" s="62" t="s">
        <v>43</v>
      </c>
      <c r="F42" s="62" t="s">
        <v>42</v>
      </c>
      <c r="G42" s="64" t="s">
        <v>50</v>
      </c>
      <c r="H42" s="41"/>
      <c r="I42" s="35"/>
      <c r="J42" s="43"/>
      <c r="K42" s="36" t="str">
        <f t="shared" si="24"/>
        <v/>
      </c>
      <c r="L42" s="36" t="str">
        <f t="shared" ref="L42:L47" si="27">IF(OR($D42=L$2,$E42=L$2,$F42=L$2),"Day",IF($G42=L$2,"Night",IF(OR($H42=L$2,$I42=L$2),"FC3",IF($J42=L$2,"FC3 Night",""))))</f>
        <v>Day</v>
      </c>
      <c r="M42" s="36" t="str">
        <f t="shared" si="25"/>
        <v>Day</v>
      </c>
      <c r="N42" s="36" t="str">
        <f t="shared" si="23"/>
        <v/>
      </c>
      <c r="O42" s="36" t="str">
        <f t="shared" si="26"/>
        <v/>
      </c>
      <c r="P42" s="36" t="str">
        <f t="shared" ref="P42:Q47" si="28">IF(OR($D42=P$2,$E42=P$2,$F42=P$2),"Day",IF($G42=P$2,"Night",IF(OR($H42=P$2,$I42=P$2),"FC3",IF($J42=P$2,"FC3 Night",""))))</f>
        <v/>
      </c>
      <c r="Q42" s="36" t="str">
        <f t="shared" si="28"/>
        <v>Day</v>
      </c>
      <c r="R42" s="36" t="str">
        <f t="shared" si="21"/>
        <v/>
      </c>
      <c r="S42" s="36" t="str">
        <f t="shared" si="20"/>
        <v>OFF</v>
      </c>
      <c r="T42" s="36" t="str">
        <f>IF(OR($D42=T$2,$E42=T$2,$F42=T$2),"Day",IF($G42=T$2,"Night",IF(OR($H42=T$2,$I42=T$2),"FC3",IF($J42=T$2,"FC3 Night",""))))</f>
        <v>Night</v>
      </c>
      <c r="U42" s="36" t="str">
        <f t="shared" si="19"/>
        <v/>
      </c>
      <c r="V42" s="36" t="str">
        <f t="shared" si="19"/>
        <v/>
      </c>
      <c r="W42" s="36" t="str">
        <f t="shared" si="19"/>
        <v/>
      </c>
      <c r="X42" s="36" t="str">
        <f t="shared" si="19"/>
        <v/>
      </c>
      <c r="Y42" s="36" t="str">
        <f t="shared" si="19"/>
        <v/>
      </c>
      <c r="Z42" s="36" t="str">
        <f t="shared" si="19"/>
        <v/>
      </c>
      <c r="AA42" s="128">
        <v>46357</v>
      </c>
    </row>
    <row r="43" spans="1:27" ht="18" customHeight="1" x14ac:dyDescent="0.35">
      <c r="A43" s="127" t="s">
        <v>146</v>
      </c>
      <c r="B43" s="114" t="s">
        <v>30</v>
      </c>
      <c r="C43" s="114" t="s">
        <v>15</v>
      </c>
      <c r="D43" s="61" t="s">
        <v>47</v>
      </c>
      <c r="E43" s="62" t="s">
        <v>43</v>
      </c>
      <c r="F43" s="62" t="s">
        <v>48</v>
      </c>
      <c r="G43" s="64" t="s">
        <v>46</v>
      </c>
      <c r="H43" s="41"/>
      <c r="I43" s="35"/>
      <c r="J43" s="43"/>
      <c r="K43" s="36" t="str">
        <f t="shared" si="24"/>
        <v/>
      </c>
      <c r="L43" s="36" t="str">
        <f t="shared" si="27"/>
        <v/>
      </c>
      <c r="M43" s="36" t="str">
        <f t="shared" si="25"/>
        <v>Day</v>
      </c>
      <c r="N43" s="36" t="str">
        <f t="shared" si="23"/>
        <v/>
      </c>
      <c r="O43" s="36" t="str">
        <f t="shared" si="26"/>
        <v/>
      </c>
      <c r="P43" s="36" t="str">
        <f t="shared" si="28"/>
        <v>Night</v>
      </c>
      <c r="Q43" s="36" t="str">
        <f t="shared" si="28"/>
        <v>Day</v>
      </c>
      <c r="R43" s="36" t="str">
        <f t="shared" si="21"/>
        <v>Day</v>
      </c>
      <c r="S43" s="36" t="str">
        <f t="shared" si="20"/>
        <v>OFF</v>
      </c>
      <c r="T43" s="36" t="str">
        <f>IF(OR($D43=T$2,$E43=T$2,$F43=T$2),"Day",IF($G43=T$2,"Night",IF(OR($H43=T$2,$I43=T$2),"FC3",IF($J43=T$2,"FC3 Night",""))))</f>
        <v/>
      </c>
      <c r="U43" s="36" t="str">
        <f t="shared" si="19"/>
        <v/>
      </c>
      <c r="V43" s="36" t="str">
        <f t="shared" si="19"/>
        <v/>
      </c>
      <c r="W43" s="36" t="str">
        <f t="shared" si="19"/>
        <v/>
      </c>
      <c r="X43" s="36" t="str">
        <f t="shared" si="19"/>
        <v/>
      </c>
      <c r="Y43" s="36" t="str">
        <f t="shared" si="19"/>
        <v/>
      </c>
      <c r="Z43" s="36" t="str">
        <f t="shared" si="19"/>
        <v/>
      </c>
      <c r="AA43" s="128">
        <v>46358</v>
      </c>
    </row>
    <row r="44" spans="1:27" ht="18" customHeight="1" x14ac:dyDescent="0.35">
      <c r="A44" s="127" t="s">
        <v>147</v>
      </c>
      <c r="B44" s="114" t="s">
        <v>31</v>
      </c>
      <c r="C44" s="114" t="s">
        <v>15</v>
      </c>
      <c r="D44" s="61" t="s">
        <v>42</v>
      </c>
      <c r="E44" s="62" t="s">
        <v>48</v>
      </c>
      <c r="F44" s="62" t="s">
        <v>47</v>
      </c>
      <c r="G44" s="64" t="s">
        <v>46</v>
      </c>
      <c r="H44" s="41"/>
      <c r="I44" s="35"/>
      <c r="J44" s="43"/>
      <c r="K44" s="36" t="str">
        <f t="shared" si="24"/>
        <v/>
      </c>
      <c r="L44" s="36" t="str">
        <f t="shared" si="27"/>
        <v>Day</v>
      </c>
      <c r="M44" s="36" t="str">
        <f t="shared" si="25"/>
        <v/>
      </c>
      <c r="N44" s="36" t="str">
        <f t="shared" si="23"/>
        <v/>
      </c>
      <c r="O44" s="36" t="str">
        <f t="shared" si="26"/>
        <v/>
      </c>
      <c r="P44" s="36" t="str">
        <f t="shared" si="28"/>
        <v>Night</v>
      </c>
      <c r="Q44" s="36" t="str">
        <f t="shared" si="28"/>
        <v>Day</v>
      </c>
      <c r="R44" s="36" t="str">
        <f t="shared" si="21"/>
        <v>Day</v>
      </c>
      <c r="S44" s="36" t="str">
        <f t="shared" si="20"/>
        <v>OFF</v>
      </c>
      <c r="T44" s="36" t="str">
        <f>IF(OR($D44=T$2,$E44=T$2,$F44=T$2),"Day",IF($G44=T$2,"Night",IF(OR($H44=T$2,$I44=T$2),"FC3",IF($J44=T$2,"FC3 Night",IF(AND(COUNTA($D44:$G44)&lt;4,Summary!$AB$10&lt;Summary!$AB$3),"Yellow","")))))</f>
        <v/>
      </c>
      <c r="U44" s="36" t="str">
        <f t="shared" si="19"/>
        <v/>
      </c>
      <c r="V44" s="36" t="str">
        <f t="shared" si="19"/>
        <v/>
      </c>
      <c r="W44" s="36" t="str">
        <f t="shared" si="19"/>
        <v/>
      </c>
      <c r="X44" s="36" t="str">
        <f t="shared" si="19"/>
        <v/>
      </c>
      <c r="Y44" s="36" t="str">
        <f t="shared" si="19"/>
        <v/>
      </c>
      <c r="Z44" s="36" t="str">
        <f t="shared" si="19"/>
        <v/>
      </c>
      <c r="AA44" s="128">
        <v>46359</v>
      </c>
    </row>
    <row r="45" spans="1:27" ht="18" customHeight="1" x14ac:dyDescent="0.35">
      <c r="A45" s="127" t="s">
        <v>148</v>
      </c>
      <c r="B45" s="114" t="s">
        <v>32</v>
      </c>
      <c r="C45" s="114" t="s">
        <v>15</v>
      </c>
      <c r="D45" s="61" t="s">
        <v>47</v>
      </c>
      <c r="E45" s="62" t="s">
        <v>43</v>
      </c>
      <c r="F45" s="62" t="s">
        <v>50</v>
      </c>
      <c r="G45" s="64" t="s">
        <v>46</v>
      </c>
      <c r="H45" s="41"/>
      <c r="I45" s="35"/>
      <c r="J45" s="43"/>
      <c r="K45" s="36" t="str">
        <f t="shared" si="24"/>
        <v/>
      </c>
      <c r="L45" s="36" t="str">
        <f t="shared" si="27"/>
        <v/>
      </c>
      <c r="M45" s="36" t="str">
        <f t="shared" si="25"/>
        <v>Day</v>
      </c>
      <c r="N45" s="36" t="str">
        <f t="shared" si="23"/>
        <v/>
      </c>
      <c r="O45" s="36" t="str">
        <f t="shared" si="26"/>
        <v/>
      </c>
      <c r="P45" s="36" t="str">
        <f t="shared" si="28"/>
        <v>Night</v>
      </c>
      <c r="Q45" s="36" t="str">
        <f t="shared" si="28"/>
        <v>Day</v>
      </c>
      <c r="R45" s="36" t="str">
        <f t="shared" si="21"/>
        <v/>
      </c>
      <c r="S45" s="36" t="str">
        <f t="shared" si="20"/>
        <v>OFF</v>
      </c>
      <c r="T45" s="36" t="str">
        <f>IF(OR($D45=T$2,$E45=T$2,$F45=T$2),"Day",IF($G45=T$2,"Night",IF(OR($H45=T$2,$I45=T$2),"FC3",IF($J45=T$2,"FC3 Night",""))))</f>
        <v>Day</v>
      </c>
      <c r="U45" s="36" t="str">
        <f t="shared" si="19"/>
        <v/>
      </c>
      <c r="V45" s="36" t="str">
        <f t="shared" si="19"/>
        <v/>
      </c>
      <c r="W45" s="36" t="str">
        <f t="shared" si="19"/>
        <v/>
      </c>
      <c r="X45" s="36" t="str">
        <f t="shared" si="19"/>
        <v/>
      </c>
      <c r="Y45" s="36" t="str">
        <f t="shared" si="19"/>
        <v/>
      </c>
      <c r="Z45" s="36" t="str">
        <f t="shared" si="19"/>
        <v/>
      </c>
      <c r="AA45" s="128">
        <v>46360</v>
      </c>
    </row>
    <row r="46" spans="1:27" ht="18" customHeight="1" x14ac:dyDescent="0.35">
      <c r="A46" s="129" t="s">
        <v>149</v>
      </c>
      <c r="B46" s="115" t="s">
        <v>33</v>
      </c>
      <c r="C46" s="115" t="s">
        <v>15</v>
      </c>
      <c r="D46" s="61" t="s">
        <v>42</v>
      </c>
      <c r="E46" s="62" t="s">
        <v>45</v>
      </c>
      <c r="F46" s="62" t="s">
        <v>44</v>
      </c>
      <c r="G46" s="64" t="s">
        <v>2</v>
      </c>
      <c r="H46" s="42"/>
      <c r="I46" s="37"/>
      <c r="J46" s="44"/>
      <c r="K46" s="38" t="str">
        <f t="shared" si="24"/>
        <v>Night</v>
      </c>
      <c r="L46" s="38" t="str">
        <f t="shared" si="27"/>
        <v>Day</v>
      </c>
      <c r="M46" s="38" t="str">
        <f t="shared" si="25"/>
        <v/>
      </c>
      <c r="N46" s="38" t="str">
        <f t="shared" si="23"/>
        <v>Day</v>
      </c>
      <c r="O46" s="38" t="str">
        <f t="shared" si="26"/>
        <v>Day</v>
      </c>
      <c r="P46" s="38" t="str">
        <f t="shared" si="28"/>
        <v/>
      </c>
      <c r="Q46" s="38" t="str">
        <f t="shared" si="28"/>
        <v/>
      </c>
      <c r="R46" s="38" t="str">
        <f>IF(OR($D46=R$2,$E46=R$2,$F46=R$2),"Day",IF($G46=R$2,"Night",IF(OR($H46=R$2,$I46=R$2),"FC3",IF($J46=R$2,"FC3 Night","OFF"))))</f>
        <v>OFF</v>
      </c>
      <c r="S46" s="38" t="str">
        <f t="shared" si="20"/>
        <v>OFF</v>
      </c>
      <c r="T46" s="38" t="str">
        <f>IF(OR($D46=T$2,$E46=T$2,$F46=T$2),"Day",IF($G46=T$2,"Night",IF(OR($H46=T$2,$I46=T$2),"FC3",IF($J46=T$2,"FC3 Night","OFF"))))</f>
        <v>OFF</v>
      </c>
      <c r="U46" s="38" t="str">
        <f t="shared" si="19"/>
        <v/>
      </c>
      <c r="V46" s="38" t="str">
        <f t="shared" si="19"/>
        <v/>
      </c>
      <c r="W46" s="38" t="str">
        <f t="shared" si="19"/>
        <v/>
      </c>
      <c r="X46" s="38" t="str">
        <f t="shared" si="19"/>
        <v/>
      </c>
      <c r="Y46" s="38" t="str">
        <f t="shared" si="19"/>
        <v/>
      </c>
      <c r="Z46" s="38" t="str">
        <f t="shared" si="19"/>
        <v/>
      </c>
      <c r="AA46" s="128">
        <v>46361</v>
      </c>
    </row>
    <row r="47" spans="1:27" ht="18" customHeight="1" x14ac:dyDescent="0.35">
      <c r="A47" s="129" t="s">
        <v>150</v>
      </c>
      <c r="B47" s="115" t="s">
        <v>27</v>
      </c>
      <c r="C47" s="115" t="s">
        <v>15</v>
      </c>
      <c r="D47" s="61" t="s">
        <v>44</v>
      </c>
      <c r="E47" s="62" t="s">
        <v>42</v>
      </c>
      <c r="F47" s="62" t="s">
        <v>45</v>
      </c>
      <c r="G47" s="64" t="s">
        <v>2</v>
      </c>
      <c r="H47" s="42"/>
      <c r="I47" s="37"/>
      <c r="J47" s="44"/>
      <c r="K47" s="38" t="str">
        <f t="shared" si="24"/>
        <v>Night</v>
      </c>
      <c r="L47" s="38" t="str">
        <f t="shared" si="27"/>
        <v>Day</v>
      </c>
      <c r="M47" s="38" t="str">
        <f t="shared" si="25"/>
        <v/>
      </c>
      <c r="N47" s="38" t="str">
        <f t="shared" si="23"/>
        <v>Day</v>
      </c>
      <c r="O47" s="38" t="str">
        <f t="shared" si="26"/>
        <v>Day</v>
      </c>
      <c r="P47" s="38" t="str">
        <f t="shared" si="28"/>
        <v/>
      </c>
      <c r="Q47" s="38" t="str">
        <f t="shared" si="28"/>
        <v/>
      </c>
      <c r="R47" s="38" t="str">
        <f>IF(OR($D47=R$2,$E47=R$2,$F47=R$2),"Day",IF($G47=R$2,"Night",IF(OR($H47=R$2,$I47=R$2),"FC3",IF($J47=R$2,"FC3 Night","OFF"))))</f>
        <v>OFF</v>
      </c>
      <c r="S47" s="38" t="str">
        <f t="shared" si="20"/>
        <v>OFF</v>
      </c>
      <c r="T47" s="38" t="str">
        <f>IF(OR($D47=T$2,$E47=T$2,$F47=T$2),"Day",IF($G47=T$2,"Night",IF(OR($H47=T$2,$I47=T$2),"FC3",IF($J47=T$2,"FC3 Night","OFF"))))</f>
        <v>OFF</v>
      </c>
      <c r="U47" s="38" t="str">
        <f t="shared" si="19"/>
        <v/>
      </c>
      <c r="V47" s="38" t="str">
        <f t="shared" si="19"/>
        <v/>
      </c>
      <c r="W47" s="38" t="str">
        <f t="shared" si="19"/>
        <v/>
      </c>
      <c r="X47" s="38" t="str">
        <f t="shared" si="19"/>
        <v/>
      </c>
      <c r="Y47" s="38" t="str">
        <f t="shared" si="19"/>
        <v/>
      </c>
      <c r="Z47" s="38" t="str">
        <f t="shared" si="19"/>
        <v/>
      </c>
      <c r="AA47" s="128">
        <v>46362</v>
      </c>
    </row>
    <row r="48" spans="1:27" ht="16" customHeight="1" x14ac:dyDescent="0.35">
      <c r="A48" s="130" t="s">
        <v>151</v>
      </c>
      <c r="B48" s="59"/>
      <c r="C48" s="59"/>
      <c r="D48" s="60"/>
      <c r="E48" s="34"/>
      <c r="F48" s="34"/>
      <c r="G48" s="40"/>
      <c r="H48" s="39"/>
      <c r="I48" s="34"/>
      <c r="J48" s="40"/>
      <c r="K48" s="33" t="s">
        <v>101</v>
      </c>
      <c r="L48" s="33" t="s">
        <v>100</v>
      </c>
      <c r="M48" s="33" t="s">
        <v>100</v>
      </c>
      <c r="N48" s="33" t="s">
        <v>100</v>
      </c>
      <c r="O48" s="33" t="s">
        <v>100</v>
      </c>
      <c r="P48" s="33" t="s">
        <v>100</v>
      </c>
      <c r="Q48" s="33" t="s">
        <v>100</v>
      </c>
      <c r="R48" s="33" t="s">
        <v>100</v>
      </c>
      <c r="S48" s="33" t="s">
        <v>103</v>
      </c>
      <c r="T48" s="33" t="s">
        <v>100</v>
      </c>
      <c r="U48" s="33" t="s">
        <v>103</v>
      </c>
      <c r="V48" s="33" t="s">
        <v>103</v>
      </c>
      <c r="W48" s="33" t="s">
        <v>103</v>
      </c>
      <c r="X48" s="33" t="s">
        <v>103</v>
      </c>
      <c r="Y48" s="33" t="s">
        <v>103</v>
      </c>
      <c r="Z48" s="33" t="s">
        <v>103</v>
      </c>
      <c r="AA48" s="131"/>
    </row>
    <row r="49" spans="1:27" ht="18" customHeight="1" x14ac:dyDescent="0.35">
      <c r="A49" s="127" t="s">
        <v>152</v>
      </c>
      <c r="B49" s="114" t="s">
        <v>28</v>
      </c>
      <c r="C49" s="114" t="s">
        <v>17</v>
      </c>
      <c r="D49" s="61" t="s">
        <v>45</v>
      </c>
      <c r="E49" s="62" t="s">
        <v>50</v>
      </c>
      <c r="F49" s="62" t="s">
        <v>42</v>
      </c>
      <c r="G49" s="64" t="s">
        <v>2</v>
      </c>
      <c r="H49" s="41"/>
      <c r="I49" s="35"/>
      <c r="J49" s="43"/>
      <c r="K49" s="36" t="str">
        <f t="shared" ref="K49:Q50" si="29">IF(OR($D49=K$2,$E49=K$2,$F49=K$2),"Day",IF($G49=K$2,"Night",IF(OR($H49=K$2,$I49=K$2),"FC3",IF($J49=K$2,"FC3 Night",""))))</f>
        <v>Night</v>
      </c>
      <c r="L49" s="36" t="str">
        <f t="shared" si="29"/>
        <v>Day</v>
      </c>
      <c r="M49" s="36" t="str">
        <f t="shared" si="29"/>
        <v/>
      </c>
      <c r="N49" s="36" t="str">
        <f t="shared" si="29"/>
        <v/>
      </c>
      <c r="O49" s="36" t="str">
        <f t="shared" si="29"/>
        <v>Day</v>
      </c>
      <c r="P49" s="36" t="str">
        <f t="shared" si="29"/>
        <v/>
      </c>
      <c r="Q49" s="36" t="str">
        <f t="shared" si="29"/>
        <v/>
      </c>
      <c r="R49" s="36" t="str">
        <f t="shared" ref="R49:S51" si="30">IF(OR($D49=R$2,$E49=R$2,$F49=R$2),"Day",IF($G49=R$2,"Night",IF(OR($H49=R$2,$I49=R$2),"FC3",IF($J49=R$2,"FC3 Night","OFF"))))</f>
        <v>OFF</v>
      </c>
      <c r="S49" s="36" t="str">
        <f t="shared" si="30"/>
        <v>OFF</v>
      </c>
      <c r="T49" s="36" t="str">
        <f t="shared" ref="T49:Z51" si="31">IF(OR($D49=T$2,$E49=T$2,$F49=T$2),"Day",IF($G49=T$2,"Night",IF(OR($H49=T$2,$I49=T$2),"FC3",IF($J49=T$2,"FC3 Night",""))))</f>
        <v>Day</v>
      </c>
      <c r="U49" s="36" t="str">
        <f t="shared" si="31"/>
        <v/>
      </c>
      <c r="V49" s="36" t="str">
        <f t="shared" si="31"/>
        <v/>
      </c>
      <c r="W49" s="36" t="str">
        <f t="shared" si="31"/>
        <v/>
      </c>
      <c r="X49" s="36" t="str">
        <f t="shared" si="31"/>
        <v/>
      </c>
      <c r="Y49" s="36" t="str">
        <f t="shared" si="31"/>
        <v/>
      </c>
      <c r="Z49" s="36" t="str">
        <f t="shared" si="31"/>
        <v/>
      </c>
      <c r="AA49" s="128">
        <v>46363</v>
      </c>
    </row>
    <row r="50" spans="1:27" ht="18" customHeight="1" x14ac:dyDescent="0.35">
      <c r="A50" s="127" t="s">
        <v>153</v>
      </c>
      <c r="B50" s="114" t="s">
        <v>29</v>
      </c>
      <c r="C50" s="114" t="s">
        <v>17</v>
      </c>
      <c r="D50" s="61" t="s">
        <v>43</v>
      </c>
      <c r="E50" s="62" t="s">
        <v>50</v>
      </c>
      <c r="F50" s="62" t="s">
        <v>42</v>
      </c>
      <c r="G50" s="64" t="s">
        <v>47</v>
      </c>
      <c r="H50" s="41"/>
      <c r="I50" s="35"/>
      <c r="J50" s="43"/>
      <c r="K50" s="36" t="str">
        <f t="shared" si="29"/>
        <v/>
      </c>
      <c r="L50" s="36" t="str">
        <f t="shared" si="29"/>
        <v>Day</v>
      </c>
      <c r="M50" s="36" t="str">
        <f t="shared" si="29"/>
        <v>Day</v>
      </c>
      <c r="N50" s="36" t="str">
        <f t="shared" si="29"/>
        <v/>
      </c>
      <c r="O50" s="36" t="str">
        <f t="shared" si="29"/>
        <v/>
      </c>
      <c r="P50" s="36" t="str">
        <f t="shared" si="29"/>
        <v/>
      </c>
      <c r="Q50" s="36" t="str">
        <f t="shared" si="29"/>
        <v>Night</v>
      </c>
      <c r="R50" s="36" t="str">
        <f t="shared" si="30"/>
        <v>OFF</v>
      </c>
      <c r="S50" s="36" t="str">
        <f t="shared" si="30"/>
        <v>OFF</v>
      </c>
      <c r="T50" s="36" t="str">
        <f t="shared" si="31"/>
        <v>Day</v>
      </c>
      <c r="U50" s="36" t="str">
        <f t="shared" si="31"/>
        <v/>
      </c>
      <c r="V50" s="36" t="str">
        <f t="shared" si="31"/>
        <v/>
      </c>
      <c r="W50" s="36" t="str">
        <f t="shared" si="31"/>
        <v/>
      </c>
      <c r="X50" s="36" t="str">
        <f t="shared" si="31"/>
        <v/>
      </c>
      <c r="Y50" s="36" t="str">
        <f t="shared" si="31"/>
        <v/>
      </c>
      <c r="Z50" s="36" t="str">
        <f t="shared" si="31"/>
        <v/>
      </c>
      <c r="AA50" s="128">
        <v>46364</v>
      </c>
    </row>
    <row r="51" spans="1:27" ht="18" customHeight="1" x14ac:dyDescent="0.35">
      <c r="A51" s="127" t="s">
        <v>154</v>
      </c>
      <c r="B51" s="114" t="s">
        <v>30</v>
      </c>
      <c r="C51" s="114" t="s">
        <v>17</v>
      </c>
      <c r="D51" s="61" t="s">
        <v>43</v>
      </c>
      <c r="E51" s="62" t="s">
        <v>44</v>
      </c>
      <c r="F51" s="62" t="s">
        <v>42</v>
      </c>
      <c r="G51" s="64" t="s">
        <v>47</v>
      </c>
      <c r="H51" s="41"/>
      <c r="I51" s="35"/>
      <c r="J51" s="43"/>
      <c r="K51" s="36" t="str">
        <f>IF(OR($D51=K$2,$E51=K$2,$F51=K$2),"Day",IF($G51=K$2,"Night",IF(OR($H51=K$2,$I51=K$2),"FC3",IF($J51=K$2,"FC3 Night","OFF"))))</f>
        <v>OFF</v>
      </c>
      <c r="L51" s="36" t="str">
        <f t="shared" ref="L51:Q51" si="32">IF(OR($D51=L$2,$E51=L$2,$F51=L$2),"Day",IF($G51=L$2,"Night",IF(OR($H51=L$2,$I51=L$2),"FC3",IF($J51=L$2,"FC3 Night",""))))</f>
        <v>Day</v>
      </c>
      <c r="M51" s="36" t="str">
        <f t="shared" si="32"/>
        <v>Day</v>
      </c>
      <c r="N51" s="36" t="str">
        <f t="shared" si="32"/>
        <v>Day</v>
      </c>
      <c r="O51" s="36" t="str">
        <f t="shared" si="32"/>
        <v/>
      </c>
      <c r="P51" s="36" t="str">
        <f t="shared" si="32"/>
        <v/>
      </c>
      <c r="Q51" s="36" t="str">
        <f t="shared" si="32"/>
        <v>Night</v>
      </c>
      <c r="R51" s="36" t="str">
        <f t="shared" si="30"/>
        <v>OFF</v>
      </c>
      <c r="S51" s="36" t="str">
        <f t="shared" si="30"/>
        <v>OFF</v>
      </c>
      <c r="T51" s="36" t="str">
        <f t="shared" si="31"/>
        <v/>
      </c>
      <c r="U51" s="36" t="str">
        <f t="shared" si="31"/>
        <v/>
      </c>
      <c r="V51" s="36" t="str">
        <f t="shared" si="31"/>
        <v/>
      </c>
      <c r="W51" s="36" t="str">
        <f t="shared" si="31"/>
        <v/>
      </c>
      <c r="X51" s="36" t="str">
        <f t="shared" si="31"/>
        <v/>
      </c>
      <c r="Y51" s="36" t="str">
        <f t="shared" si="31"/>
        <v/>
      </c>
      <c r="Z51" s="36" t="str">
        <f t="shared" si="31"/>
        <v/>
      </c>
      <c r="AA51" s="128">
        <v>46365</v>
      </c>
    </row>
    <row r="52" spans="1:27" ht="18" customHeight="1" x14ac:dyDescent="0.35">
      <c r="A52" s="127" t="s">
        <v>155</v>
      </c>
      <c r="B52" s="114" t="s">
        <v>31</v>
      </c>
      <c r="C52" s="114" t="s">
        <v>17</v>
      </c>
      <c r="D52" s="61" t="s">
        <v>44</v>
      </c>
      <c r="E52" s="62" t="s">
        <v>48</v>
      </c>
      <c r="F52" s="63" t="s">
        <v>105</v>
      </c>
      <c r="G52" s="64" t="s">
        <v>47</v>
      </c>
      <c r="H52" s="41"/>
      <c r="I52" s="35"/>
      <c r="J52" s="43"/>
      <c r="K52" s="36" t="str">
        <f>IF(OR($D52=K$2,$E52=K$2,$F52=K$2),"Day",IF($G52=K$2,"Night",IF(OR($H52=K$2,$I52=K$2),"FC3",IF($J52=K$2,"FC3 Night","OFF"))))</f>
        <v>OFF</v>
      </c>
      <c r="L52" s="36" t="str">
        <f>IF(OR($D52=L$2,$E52=L$2,$F52=L$2),"Day",IF($G52=L$2,"Night",IF(OR($H52=L$2,$I52=L$2),"FC3",IF($J52=L$2,"FC3 Night",IF(AND(COUNTA($D52:$G52)&lt;4,Summary!$T$11&lt;Summary!$T$4),"Yellow","")))))</f>
        <v/>
      </c>
      <c r="M52" s="36" t="str">
        <f>IF(OR($D52=M$2,$E52=M$2,$F52=M$2),"Day",IF($G52=M$2,"Night",IF(OR($H52=M$2,$I52=M$2),"FC3",IF($J52=M$2,"FC3 Night",""))))</f>
        <v/>
      </c>
      <c r="N52" s="36" t="str">
        <f>IF(OR($D52=N$2,$E52=N$2,$F52=N$2),"Day",IF($G52=N$2,"Night",IF(OR($H52=N$2,$I52=N$2),"FC3",IF($J52=N$2,"FC3 Night",""))))</f>
        <v>Day</v>
      </c>
      <c r="O52" s="36" t="str">
        <f>IF(OR($D52=O$2,$E52=O$2,$F52=O$2),"Day",IF($G52=O$2,"Night",IF(OR($H52=O$2,$I52=O$2),"FC3",IF($J52=O$2,"FC3 Night",""))))</f>
        <v/>
      </c>
      <c r="P52" s="36" t="str">
        <f>IF(OR($D52=P$2,$E52=P$2,$F52=P$2),"Day",IF($G52=P$2,"Night",IF(OR($H52=P$2,$I52=P$2),"FC3",IF($J52=P$2,"FC3 Night",""))))</f>
        <v/>
      </c>
      <c r="Q52" s="36" t="str">
        <f>IF(OR($D52=Q$2,$E52=Q$2,$F52=Q$2),"Day",IF($G52=Q$2,"Night",IF(OR($H52=Q$2,$I52=Q$2),"FC3",IF($J52=Q$2,"FC3 Night",""))))</f>
        <v>Night</v>
      </c>
      <c r="R52" s="36" t="str">
        <f>IF(OR($D52=R$2,$E52=R$2,$F52=R$2),"Day",IF($G52=R$2,"Night",IF(OR($H52=R$2,$I52=R$2),"FC3",IF($J52=R$2,"FC3 Night",IF(AND(COUNTA($D52:$G52)&lt;4,Summary!$Z$11&lt;Summary!$Z$4),"Yellow","")))))</f>
        <v>Day</v>
      </c>
      <c r="S52" s="36" t="str">
        <f t="shared" ref="S52:S62" si="33">IF(OR($D52=S$2,$E52=S$2,$F52=S$2),"Day",IF($G52=S$2,"Night",IF(OR($H52=S$2,$I52=S$2),"FC3",IF($J52=S$2,"FC3 Night","OFF"))))</f>
        <v>OFF</v>
      </c>
      <c r="T52" s="36" t="str">
        <f>IF(OR($D52=T$2,$E52=T$2,$F52=T$2),"Day",IF($G52=T$2,"Night",IF(OR($H52=T$2,$I52=T$2),"FC3",IF($J52=T$2,"FC3 Night",IF(AND(COUNTA($D52:$G52)&lt;4,Summary!$AB$11&lt;Summary!$AB$4),"Yellow","")))))</f>
        <v/>
      </c>
      <c r="U52" s="36" t="str">
        <f t="shared" ref="U52:Z62" si="34">IF(OR($D52=U$2,$E52=U$2,$F52=U$2),"Day",IF($G52=U$2,"Night",IF(OR($H52=U$2,$I52=U$2),"FC3",IF($J52=U$2,"FC3 Night",""))))</f>
        <v/>
      </c>
      <c r="V52" s="36" t="str">
        <f t="shared" si="34"/>
        <v/>
      </c>
      <c r="W52" s="36" t="str">
        <f t="shared" si="34"/>
        <v/>
      </c>
      <c r="X52" s="36" t="str">
        <f t="shared" si="34"/>
        <v/>
      </c>
      <c r="Y52" s="36" t="str">
        <f t="shared" si="34"/>
        <v/>
      </c>
      <c r="Z52" s="36" t="str">
        <f t="shared" si="34"/>
        <v/>
      </c>
      <c r="AA52" s="128">
        <v>46366</v>
      </c>
    </row>
    <row r="53" spans="1:27" ht="18" customHeight="1" x14ac:dyDescent="0.35">
      <c r="A53" s="127" t="s">
        <v>156</v>
      </c>
      <c r="B53" s="114" t="s">
        <v>32</v>
      </c>
      <c r="C53" s="114" t="s">
        <v>17</v>
      </c>
      <c r="D53" s="61" t="s">
        <v>50</v>
      </c>
      <c r="E53" s="62" t="s">
        <v>44</v>
      </c>
      <c r="F53" s="62" t="s">
        <v>46</v>
      </c>
      <c r="G53" s="64" t="s">
        <v>45</v>
      </c>
      <c r="H53" s="41"/>
      <c r="I53" s="35"/>
      <c r="J53" s="43"/>
      <c r="K53" s="36" t="str">
        <f>IF(OR($D53=K$2,$E53=K$2,$F53=K$2),"Day",IF($G53=K$2,"Night",IF(OR($H53=K$2,$I53=K$2),"FC3",IF($J53=K$2,"FC3 Night","OFF"))))</f>
        <v>OFF</v>
      </c>
      <c r="L53" s="36" t="str">
        <f>IF(OR($D53=L$2,$E53=L$2,$F53=L$2),"Day",IF($G53=L$2,"Night",IF(OR($H53=L$2,$I53=L$2),"FC3",IF($J53=L$2,"FC3 Night","OFF"))))</f>
        <v>OFF</v>
      </c>
      <c r="M53" s="36" t="str">
        <f t="shared" ref="M53:M62" si="35">IF(OR($D53=M$2,$E53=M$2,$F53=M$2),"Day",IF($G53=M$2,"Night",IF(OR($H53=M$2,$I53=M$2),"FC3",IF($J53=M$2,"FC3 Night",""))))</f>
        <v/>
      </c>
      <c r="N53" s="36" t="str">
        <f>IF(OR($D53=N$2,$E53=N$2,$F53=N$2),"Day",IF($G53=N$2,"Night",IF(OR($H53=N$2,$I53=N$2),"FC3",IF($J53=N$2,"FC3 Night",IF(AND(COUNTA($D53:$G53)&lt;4,Summary!$V$11&lt;Summary!$V$4),"Yellow","")))))</f>
        <v>Day</v>
      </c>
      <c r="O53" s="36" t="str">
        <f t="shared" ref="O53:R54" si="36">IF(OR($D53=O$2,$E53=O$2,$F53=O$2),"Day",IF($G53=O$2,"Night",IF(OR($H53=O$2,$I53=O$2),"FC3",IF($J53=O$2,"FC3 Night",""))))</f>
        <v>Night</v>
      </c>
      <c r="P53" s="36" t="str">
        <f t="shared" si="36"/>
        <v>Day</v>
      </c>
      <c r="Q53" s="36" t="str">
        <f t="shared" si="36"/>
        <v/>
      </c>
      <c r="R53" s="36" t="str">
        <f t="shared" si="36"/>
        <v/>
      </c>
      <c r="S53" s="36" t="str">
        <f t="shared" si="33"/>
        <v>OFF</v>
      </c>
      <c r="T53" s="36" t="str">
        <f t="shared" ref="T53:T58" si="37">IF(OR($D53=T$2,$E53=T$2,$F53=T$2),"Day",IF($G53=T$2,"Night",IF(OR($H53=T$2,$I53=T$2),"FC3",IF($J53=T$2,"FC3 Night",""))))</f>
        <v>Day</v>
      </c>
      <c r="U53" s="36" t="str">
        <f t="shared" si="34"/>
        <v/>
      </c>
      <c r="V53" s="36" t="str">
        <f t="shared" si="34"/>
        <v/>
      </c>
      <c r="W53" s="36" t="str">
        <f t="shared" si="34"/>
        <v/>
      </c>
      <c r="X53" s="36" t="str">
        <f t="shared" si="34"/>
        <v/>
      </c>
      <c r="Y53" s="36" t="str">
        <f t="shared" si="34"/>
        <v/>
      </c>
      <c r="Z53" s="36" t="str">
        <f t="shared" si="34"/>
        <v/>
      </c>
      <c r="AA53" s="128">
        <v>46367</v>
      </c>
    </row>
    <row r="54" spans="1:27" ht="18" customHeight="1" x14ac:dyDescent="0.35">
      <c r="A54" s="129" t="s">
        <v>157</v>
      </c>
      <c r="B54" s="115" t="s">
        <v>33</v>
      </c>
      <c r="C54" s="115" t="s">
        <v>17</v>
      </c>
      <c r="D54" s="61" t="s">
        <v>50</v>
      </c>
      <c r="E54" s="62" t="s">
        <v>46</v>
      </c>
      <c r="F54" s="63" t="s">
        <v>105</v>
      </c>
      <c r="G54" s="64" t="s">
        <v>45</v>
      </c>
      <c r="H54" s="42"/>
      <c r="I54" s="37"/>
      <c r="J54" s="44"/>
      <c r="K54" s="38" t="str">
        <f>IF(OR($D54=K$2,$E54=K$2,$F54=K$2),"Day",IF($G54=K$2,"Night",IF(OR($H54=K$2,$I54=K$2),"FC3",IF($J54=K$2,"FC3 Night","OFF"))))</f>
        <v>OFF</v>
      </c>
      <c r="L54" s="38" t="str">
        <f t="shared" ref="L54:L61" si="38">IF(OR($D54=L$2,$E54=L$2,$F54=L$2),"Day",IF($G54=L$2,"Night",IF(OR($H54=L$2,$I54=L$2),"FC3",IF($J54=L$2,"FC3 Night",""))))</f>
        <v/>
      </c>
      <c r="M54" s="38" t="str">
        <f t="shared" si="35"/>
        <v/>
      </c>
      <c r="N54" s="38" t="str">
        <f>IF(OR($D54=N$2,$E54=N$2,$F54=N$2),"Day",IF($G54=N$2,"Night",IF(OR($H54=N$2,$I54=N$2),"FC3",IF($J54=N$2,"FC3 Night","OFF"))))</f>
        <v>OFF</v>
      </c>
      <c r="O54" s="38" t="str">
        <f t="shared" si="36"/>
        <v>Night</v>
      </c>
      <c r="P54" s="38" t="str">
        <f t="shared" si="36"/>
        <v>Day</v>
      </c>
      <c r="Q54" s="38" t="str">
        <f t="shared" si="36"/>
        <v/>
      </c>
      <c r="R54" s="38" t="str">
        <f t="shared" si="36"/>
        <v/>
      </c>
      <c r="S54" s="38" t="str">
        <f t="shared" si="33"/>
        <v>OFF</v>
      </c>
      <c r="T54" s="38" t="str">
        <f t="shared" si="37"/>
        <v>Day</v>
      </c>
      <c r="U54" s="38" t="str">
        <f t="shared" si="34"/>
        <v/>
      </c>
      <c r="V54" s="38" t="str">
        <f t="shared" si="34"/>
        <v/>
      </c>
      <c r="W54" s="38" t="str">
        <f t="shared" si="34"/>
        <v/>
      </c>
      <c r="X54" s="38" t="str">
        <f t="shared" si="34"/>
        <v/>
      </c>
      <c r="Y54" s="38" t="str">
        <f t="shared" si="34"/>
        <v/>
      </c>
      <c r="Z54" s="38" t="str">
        <f t="shared" si="34"/>
        <v/>
      </c>
      <c r="AA54" s="128">
        <v>46368</v>
      </c>
    </row>
    <row r="55" spans="1:27" ht="18" customHeight="1" x14ac:dyDescent="0.35">
      <c r="A55" s="129" t="s">
        <v>158</v>
      </c>
      <c r="B55" s="115" t="s">
        <v>27</v>
      </c>
      <c r="C55" s="115" t="s">
        <v>17</v>
      </c>
      <c r="D55" s="61" t="s">
        <v>46</v>
      </c>
      <c r="E55" s="62" t="s">
        <v>50</v>
      </c>
      <c r="F55" s="63" t="s">
        <v>105</v>
      </c>
      <c r="G55" s="64" t="s">
        <v>45</v>
      </c>
      <c r="H55" s="42"/>
      <c r="I55" s="37"/>
      <c r="J55" s="44"/>
      <c r="K55" s="38" t="str">
        <f>IF(OR($D55=K$2,$E55=K$2,$F55=K$2),"Day",IF($G55=K$2,"Night",IF(OR($H55=K$2,$I55=K$2),"FC3",IF($J55=K$2,"FC3 Night","OFF"))))</f>
        <v>OFF</v>
      </c>
      <c r="L55" s="38" t="str">
        <f t="shared" si="38"/>
        <v/>
      </c>
      <c r="M55" s="38" t="str">
        <f t="shared" si="35"/>
        <v/>
      </c>
      <c r="N55" s="38" t="str">
        <f>IF(OR($D55=N$2,$E55=N$2,$F55=N$2),"Day",IF($G55=N$2,"Night",IF(OR($H55=N$2,$I55=N$2),"FC3",IF($J55=N$2,"FC3 Night","OFF"))))</f>
        <v>OFF</v>
      </c>
      <c r="O55" s="38" t="str">
        <f t="shared" ref="O55:P57" si="39">IF(OR($D55=O$2,$E55=O$2,$F55=O$2),"Day",IF($G55=O$2,"Night",IF(OR($H55=O$2,$I55=O$2),"FC3",IF($J55=O$2,"FC3 Night",""))))</f>
        <v>Night</v>
      </c>
      <c r="P55" s="38" t="str">
        <f t="shared" si="39"/>
        <v>Day</v>
      </c>
      <c r="Q55" s="38" t="str">
        <f>IF(OR($D55=Q$2,$E55=Q$2,$F55=Q$2),"Day",IF($G55=Q$2,"Night",IF(OR($H55=Q$2,$I55=Q$2),"FC3",IF($J55=Q$2,"FC3 Night","OFF"))))</f>
        <v>OFF</v>
      </c>
      <c r="R55" s="38" t="str">
        <f t="shared" ref="R55:R62" si="40">IF(OR($D55=R$2,$E55=R$2,$F55=R$2),"Day",IF($G55=R$2,"Night",IF(OR($H55=R$2,$I55=R$2),"FC3",IF($J55=R$2,"FC3 Night",""))))</f>
        <v/>
      </c>
      <c r="S55" s="38" t="str">
        <f t="shared" si="33"/>
        <v>OFF</v>
      </c>
      <c r="T55" s="38" t="str">
        <f t="shared" si="37"/>
        <v>Day</v>
      </c>
      <c r="U55" s="38" t="str">
        <f t="shared" si="34"/>
        <v/>
      </c>
      <c r="V55" s="38" t="str">
        <f t="shared" si="34"/>
        <v/>
      </c>
      <c r="W55" s="38" t="str">
        <f t="shared" si="34"/>
        <v/>
      </c>
      <c r="X55" s="38" t="str">
        <f t="shared" si="34"/>
        <v/>
      </c>
      <c r="Y55" s="38" t="str">
        <f t="shared" si="34"/>
        <v/>
      </c>
      <c r="Z55" s="38" t="str">
        <f t="shared" si="34"/>
        <v/>
      </c>
      <c r="AA55" s="128">
        <v>46369</v>
      </c>
    </row>
    <row r="56" spans="1:27" ht="18" customHeight="1" x14ac:dyDescent="0.35">
      <c r="A56" s="127" t="s">
        <v>159</v>
      </c>
      <c r="B56" s="114" t="s">
        <v>28</v>
      </c>
      <c r="C56" s="114" t="s">
        <v>17</v>
      </c>
      <c r="D56" s="61" t="s">
        <v>48</v>
      </c>
      <c r="E56" s="62" t="s">
        <v>43</v>
      </c>
      <c r="F56" s="62" t="s">
        <v>47</v>
      </c>
      <c r="G56" s="64" t="s">
        <v>42</v>
      </c>
      <c r="H56" s="41"/>
      <c r="I56" s="35"/>
      <c r="J56" s="43"/>
      <c r="K56" s="36" t="str">
        <f>IF(OR($D56=K$2,$E56=K$2,$F56=K$2),"Day",IF($G56=K$2,"Night",IF(OR($H56=K$2,$I56=K$2),"FC3",IF($J56=K$2,"FC3 Night",""))))</f>
        <v/>
      </c>
      <c r="L56" s="36" t="str">
        <f t="shared" si="38"/>
        <v>Night</v>
      </c>
      <c r="M56" s="36" t="str">
        <f t="shared" si="35"/>
        <v>Day</v>
      </c>
      <c r="N56" s="36" t="str">
        <f>IF(OR($D56=N$2,$E56=N$2,$F56=N$2),"Day",IF($G56=N$2,"Night",IF(OR($H56=N$2,$I56=N$2),"FC3",IF($J56=N$2,"FC3 Night","OFF"))))</f>
        <v>OFF</v>
      </c>
      <c r="O56" s="36" t="str">
        <f t="shared" si="39"/>
        <v/>
      </c>
      <c r="P56" s="36" t="str">
        <f t="shared" si="39"/>
        <v/>
      </c>
      <c r="Q56" s="36" t="str">
        <f>IF(OR($D56=Q$2,$E56=Q$2,$F56=Q$2),"Day",IF($G56=Q$2,"Night",IF(OR($H56=Q$2,$I56=Q$2),"FC3",IF($J56=Q$2,"FC3 Night",""))))</f>
        <v>Day</v>
      </c>
      <c r="R56" s="36" t="str">
        <f t="shared" si="40"/>
        <v>Day</v>
      </c>
      <c r="S56" s="36" t="str">
        <f t="shared" si="33"/>
        <v>OFF</v>
      </c>
      <c r="T56" s="36" t="str">
        <f t="shared" si="37"/>
        <v/>
      </c>
      <c r="U56" s="36" t="str">
        <f t="shared" si="34"/>
        <v/>
      </c>
      <c r="V56" s="36" t="str">
        <f t="shared" si="34"/>
        <v/>
      </c>
      <c r="W56" s="36" t="str">
        <f t="shared" si="34"/>
        <v/>
      </c>
      <c r="X56" s="36" t="str">
        <f t="shared" si="34"/>
        <v/>
      </c>
      <c r="Y56" s="36" t="str">
        <f t="shared" si="34"/>
        <v/>
      </c>
      <c r="Z56" s="36" t="str">
        <f t="shared" si="34"/>
        <v/>
      </c>
      <c r="AA56" s="128">
        <v>46370</v>
      </c>
    </row>
    <row r="57" spans="1:27" ht="18" customHeight="1" x14ac:dyDescent="0.35">
      <c r="A57" s="127" t="s">
        <v>160</v>
      </c>
      <c r="B57" s="114" t="s">
        <v>29</v>
      </c>
      <c r="C57" s="114" t="s">
        <v>17</v>
      </c>
      <c r="D57" s="61" t="s">
        <v>50</v>
      </c>
      <c r="E57" s="62" t="s">
        <v>48</v>
      </c>
      <c r="F57" s="62" t="s">
        <v>2</v>
      </c>
      <c r="G57" s="64" t="s">
        <v>42</v>
      </c>
      <c r="H57" s="41"/>
      <c r="I57" s="35"/>
      <c r="J57" s="43"/>
      <c r="K57" s="36" t="str">
        <f>IF(OR($D57=K$2,$E57=K$2,$F57=K$2),"Day",IF($G57=K$2,"Night",IF(OR($H57=K$2,$I57=K$2),"FC3",IF($J57=K$2,"FC3 Night",""))))</f>
        <v>Day</v>
      </c>
      <c r="L57" s="36" t="str">
        <f t="shared" si="38"/>
        <v>Night</v>
      </c>
      <c r="M57" s="36" t="str">
        <f t="shared" si="35"/>
        <v/>
      </c>
      <c r="N57" s="36" t="str">
        <f>IF(OR($D57=N$2,$E57=N$2,$F57=N$2),"Day",IF($G57=N$2,"Night",IF(OR($H57=N$2,$I57=N$2),"FC3",IF($J57=N$2,"FC3 Night","OFF"))))</f>
        <v>OFF</v>
      </c>
      <c r="O57" s="36" t="str">
        <f t="shared" si="39"/>
        <v/>
      </c>
      <c r="P57" s="36" t="str">
        <f t="shared" si="39"/>
        <v/>
      </c>
      <c r="Q57" s="36" t="str">
        <f>IF(OR($D57=Q$2,$E57=Q$2,$F57=Q$2),"Day",IF($G57=Q$2,"Night",IF(OR($H57=Q$2,$I57=Q$2),"FC3",IF($J57=Q$2,"FC3 Night",""))))</f>
        <v/>
      </c>
      <c r="R57" s="36" t="str">
        <f t="shared" si="40"/>
        <v>Day</v>
      </c>
      <c r="S57" s="36" t="str">
        <f t="shared" si="33"/>
        <v>OFF</v>
      </c>
      <c r="T57" s="36" t="str">
        <f t="shared" si="37"/>
        <v>Day</v>
      </c>
      <c r="U57" s="36" t="str">
        <f t="shared" si="34"/>
        <v/>
      </c>
      <c r="V57" s="36" t="str">
        <f t="shared" si="34"/>
        <v/>
      </c>
      <c r="W57" s="36" t="str">
        <f t="shared" si="34"/>
        <v/>
      </c>
      <c r="X57" s="36" t="str">
        <f t="shared" si="34"/>
        <v/>
      </c>
      <c r="Y57" s="36" t="str">
        <f t="shared" si="34"/>
        <v/>
      </c>
      <c r="Z57" s="36" t="str">
        <f t="shared" si="34"/>
        <v/>
      </c>
      <c r="AA57" s="128">
        <v>46371</v>
      </c>
    </row>
    <row r="58" spans="1:27" ht="18" customHeight="1" x14ac:dyDescent="0.35">
      <c r="A58" s="127" t="s">
        <v>161</v>
      </c>
      <c r="B58" s="114" t="s">
        <v>30</v>
      </c>
      <c r="C58" s="114" t="s">
        <v>17</v>
      </c>
      <c r="D58" s="61" t="s">
        <v>48</v>
      </c>
      <c r="E58" s="62" t="s">
        <v>44</v>
      </c>
      <c r="F58" s="62" t="s">
        <v>2</v>
      </c>
      <c r="G58" s="64" t="s">
        <v>42</v>
      </c>
      <c r="H58" s="41"/>
      <c r="I58" s="35"/>
      <c r="J58" s="43"/>
      <c r="K58" s="36" t="str">
        <f>IF(OR($D58=K$2,$E58=K$2,$F58=K$2),"Day",IF($G58=K$2,"Night",IF(OR($H58=K$2,$I58=K$2),"FC3",IF($J58=K$2,"FC3 Night",""))))</f>
        <v>Day</v>
      </c>
      <c r="L58" s="36" t="str">
        <f t="shared" si="38"/>
        <v>Night</v>
      </c>
      <c r="M58" s="36" t="str">
        <f t="shared" si="35"/>
        <v/>
      </c>
      <c r="N58" s="36" t="str">
        <f>IF(OR($D58=N$2,$E58=N$2,$F58=N$2),"Day",IF($G58=N$2,"Night",IF(OR($H58=N$2,$I58=N$2),"FC3",IF($J58=N$2,"FC3 Night",""))))</f>
        <v>Day</v>
      </c>
      <c r="O58" s="36" t="str">
        <f>IF(OR($D58=O$2,$E58=O$2,$F58=O$2),"Day",IF($G58=O$2,"Night",IF(OR($H58=O$2,$I58=O$2),"FC3",IF($J58=O$2,"FC3 Night","OFF"))))</f>
        <v>OFF</v>
      </c>
      <c r="P58" s="36" t="str">
        <f>IF(OR($D58=P$2,$E58=P$2,$F58=P$2),"Day",IF($G58=P$2,"Night",IF(OR($H58=P$2,$I58=P$2),"FC3",IF($J58=P$2,"FC3 Night",""))))</f>
        <v/>
      </c>
      <c r="Q58" s="36" t="str">
        <f>IF(OR($D58=Q$2,$E58=Q$2,$F58=Q$2),"Day",IF($G58=Q$2,"Night",IF(OR($H58=Q$2,$I58=Q$2),"FC3",IF($J58=Q$2,"FC3 Night",""))))</f>
        <v/>
      </c>
      <c r="R58" s="36" t="str">
        <f t="shared" si="40"/>
        <v>Day</v>
      </c>
      <c r="S58" s="36" t="str">
        <f t="shared" si="33"/>
        <v>OFF</v>
      </c>
      <c r="T58" s="36" t="str">
        <f t="shared" si="37"/>
        <v/>
      </c>
      <c r="U58" s="36" t="str">
        <f t="shared" si="34"/>
        <v/>
      </c>
      <c r="V58" s="36" t="str">
        <f t="shared" si="34"/>
        <v/>
      </c>
      <c r="W58" s="36" t="str">
        <f t="shared" si="34"/>
        <v/>
      </c>
      <c r="X58" s="36" t="str">
        <f t="shared" si="34"/>
        <v/>
      </c>
      <c r="Y58" s="36" t="str">
        <f t="shared" si="34"/>
        <v/>
      </c>
      <c r="Z58" s="36" t="str">
        <f t="shared" si="34"/>
        <v/>
      </c>
      <c r="AA58" s="128">
        <v>46372</v>
      </c>
    </row>
    <row r="59" spans="1:27" ht="18" customHeight="1" x14ac:dyDescent="0.35">
      <c r="A59" s="127" t="s">
        <v>162</v>
      </c>
      <c r="B59" s="114" t="s">
        <v>31</v>
      </c>
      <c r="C59" s="114" t="s">
        <v>17</v>
      </c>
      <c r="D59" s="61" t="s">
        <v>45</v>
      </c>
      <c r="E59" s="62" t="s">
        <v>44</v>
      </c>
      <c r="F59" s="62" t="s">
        <v>2</v>
      </c>
      <c r="G59" s="64" t="s">
        <v>43</v>
      </c>
      <c r="H59" s="41"/>
      <c r="I59" s="35"/>
      <c r="J59" s="43"/>
      <c r="K59" s="36" t="str">
        <f>IF(OR($D59=K$2,$E59=K$2,$F59=K$2),"Day",IF($G59=K$2,"Night",IF(OR($H59=K$2,$I59=K$2),"FC3",IF($J59=K$2,"FC3 Night",""))))</f>
        <v>Day</v>
      </c>
      <c r="L59" s="36" t="str">
        <f t="shared" si="38"/>
        <v/>
      </c>
      <c r="M59" s="36" t="str">
        <f t="shared" si="35"/>
        <v>Night</v>
      </c>
      <c r="N59" s="36" t="str">
        <f>IF(OR($D59=N$2,$E59=N$2,$F59=N$2),"Day",IF($G59=N$2,"Night",IF(OR($H59=N$2,$I59=N$2),"FC3",IF($J59=N$2,"FC3 Night",""))))</f>
        <v>Day</v>
      </c>
      <c r="O59" s="36" t="str">
        <f>IF(OR($D59=O$2,$E59=O$2,$F59=O$2),"Day",IF($G59=O$2,"Night",IF(OR($H59=O$2,$I59=O$2),"FC3",IF($J59=O$2,"FC3 Night",""))))</f>
        <v>Day</v>
      </c>
      <c r="P59" s="36" t="str">
        <f>IF(OR($D59=P$2,$E59=P$2,$F59=P$2),"Day",IF($G59=P$2,"Night",IF(OR($H59=P$2,$I59=P$2),"FC3",IF($J59=P$2,"FC3 Night",""))))</f>
        <v/>
      </c>
      <c r="Q59" s="36" t="str">
        <f>IF(OR($D59=Q$2,$E59=Q$2,$F59=Q$2),"Day",IF($G59=Q$2,"Night",IF(OR($H59=Q$2,$I59=Q$2),"FC3",IF($J59=Q$2,"FC3 Night","OFF"))))</f>
        <v>OFF</v>
      </c>
      <c r="R59" s="36" t="str">
        <f t="shared" si="40"/>
        <v/>
      </c>
      <c r="S59" s="36" t="str">
        <f t="shared" si="33"/>
        <v>OFF</v>
      </c>
      <c r="T59" s="36" t="str">
        <f>IF(OR($D59=T$2,$E59=T$2,$F59=T$2),"Day",IF($G59=T$2,"Night",IF(OR($H59=T$2,$I59=T$2),"FC3",IF($J59=T$2,"FC3 Night",IF(AND(COUNTA($D59:$G59)&lt;4,Summary!$AB$11&lt;Summary!$AB$4),"Yellow","")))))</f>
        <v/>
      </c>
      <c r="U59" s="36" t="str">
        <f t="shared" si="34"/>
        <v/>
      </c>
      <c r="V59" s="36" t="str">
        <f t="shared" si="34"/>
        <v/>
      </c>
      <c r="W59" s="36" t="str">
        <f t="shared" si="34"/>
        <v/>
      </c>
      <c r="X59" s="36" t="str">
        <f t="shared" si="34"/>
        <v/>
      </c>
      <c r="Y59" s="36" t="str">
        <f t="shared" si="34"/>
        <v/>
      </c>
      <c r="Z59" s="36" t="str">
        <f t="shared" si="34"/>
        <v/>
      </c>
      <c r="AA59" s="128">
        <v>46373</v>
      </c>
    </row>
    <row r="60" spans="1:27" ht="18" customHeight="1" x14ac:dyDescent="0.35">
      <c r="A60" s="127" t="s">
        <v>163</v>
      </c>
      <c r="B60" s="114" t="s">
        <v>32</v>
      </c>
      <c r="C60" s="114" t="s">
        <v>17</v>
      </c>
      <c r="D60" s="61" t="s">
        <v>45</v>
      </c>
      <c r="E60" s="62" t="s">
        <v>46</v>
      </c>
      <c r="F60" s="62" t="s">
        <v>2</v>
      </c>
      <c r="G60" s="64" t="s">
        <v>43</v>
      </c>
      <c r="H60" s="41"/>
      <c r="I60" s="35"/>
      <c r="J60" s="43"/>
      <c r="K60" s="36" t="str">
        <f>IF(OR($D60=K$2,$E60=K$2,$F60=K$2),"Day",IF($G60=K$2,"Night",IF(OR($H60=K$2,$I60=K$2),"FC3",IF($J60=K$2,"FC3 Night",""))))</f>
        <v>Day</v>
      </c>
      <c r="L60" s="36" t="str">
        <f t="shared" si="38"/>
        <v/>
      </c>
      <c r="M60" s="36" t="str">
        <f t="shared" si="35"/>
        <v>Night</v>
      </c>
      <c r="N60" s="36" t="str">
        <f>IF(OR($D60=N$2,$E60=N$2,$F60=N$2),"Day",IF($G60=N$2,"Night",IF(OR($H60=N$2,$I60=N$2),"FC3",IF($J60=N$2,"FC3 Night",""))))</f>
        <v/>
      </c>
      <c r="O60" s="36" t="str">
        <f>IF(OR($D60=O$2,$E60=O$2,$F60=O$2),"Day",IF($G60=O$2,"Night",IF(OR($H60=O$2,$I60=O$2),"FC3",IF($J60=O$2,"FC3 Night",""))))</f>
        <v>Day</v>
      </c>
      <c r="P60" s="36" t="str">
        <f>IF(OR($D60=P$2,$E60=P$2,$F60=P$2),"Day",IF($G60=P$2,"Night",IF(OR($H60=P$2,$I60=P$2),"FC3",IF($J60=P$2,"FC3 Night",""))))</f>
        <v>Day</v>
      </c>
      <c r="Q60" s="36" t="str">
        <f>IF(OR($D60=Q$2,$E60=Q$2,$F60=Q$2),"Day",IF($G60=Q$2,"Night",IF(OR($H60=Q$2,$I60=Q$2),"FC3",IF($J60=Q$2,"FC3 Night",""))))</f>
        <v/>
      </c>
      <c r="R60" s="36" t="str">
        <f t="shared" si="40"/>
        <v/>
      </c>
      <c r="S60" s="36" t="str">
        <f t="shared" si="33"/>
        <v>OFF</v>
      </c>
      <c r="T60" s="36" t="str">
        <f>IF(OR($D60=T$2,$E60=T$2,$F60=T$2),"Day",IF($G60=T$2,"Night",IF(OR($H60=T$2,$I60=T$2),"FC3",IF($J60=T$2,"FC3 Night","OFF"))))</f>
        <v>OFF</v>
      </c>
      <c r="U60" s="36" t="str">
        <f t="shared" si="34"/>
        <v/>
      </c>
      <c r="V60" s="36" t="str">
        <f t="shared" si="34"/>
        <v/>
      </c>
      <c r="W60" s="36" t="str">
        <f t="shared" si="34"/>
        <v/>
      </c>
      <c r="X60" s="36" t="str">
        <f t="shared" si="34"/>
        <v/>
      </c>
      <c r="Y60" s="36" t="str">
        <f t="shared" si="34"/>
        <v/>
      </c>
      <c r="Z60" s="36" t="str">
        <f t="shared" si="34"/>
        <v/>
      </c>
      <c r="AA60" s="128">
        <v>46374</v>
      </c>
    </row>
    <row r="61" spans="1:27" ht="18" customHeight="1" x14ac:dyDescent="0.35">
      <c r="A61" s="129" t="s">
        <v>164</v>
      </c>
      <c r="B61" s="115" t="s">
        <v>33</v>
      </c>
      <c r="C61" s="115" t="s">
        <v>17</v>
      </c>
      <c r="D61" s="61" t="s">
        <v>47</v>
      </c>
      <c r="E61" s="62" t="s">
        <v>48</v>
      </c>
      <c r="F61" s="62" t="s">
        <v>46</v>
      </c>
      <c r="G61" s="64" t="s">
        <v>43</v>
      </c>
      <c r="H61" s="42"/>
      <c r="I61" s="37"/>
      <c r="J61" s="44"/>
      <c r="K61" s="38" t="str">
        <f>IF(OR($D61=K$2,$E61=K$2,$F61=K$2),"Day",IF($G61=K$2,"Night",IF(OR($H61=K$2,$I61=K$2),"FC3",IF($J61=K$2,"FC3 Night",IF(AND(COUNTA($D61:$G61)&lt;4,Summary!$S$11&lt;Summary!$S$4),"Yellow","")))))</f>
        <v/>
      </c>
      <c r="L61" s="38" t="str">
        <f t="shared" si="38"/>
        <v/>
      </c>
      <c r="M61" s="38" t="str">
        <f t="shared" si="35"/>
        <v>Night</v>
      </c>
      <c r="N61" s="38" t="str">
        <f>IF(OR($D61=N$2,$E61=N$2,$F61=N$2),"Day",IF($G61=N$2,"Night",IF(OR($H61=N$2,$I61=N$2),"FC3",IF($J61=N$2,"FC3 Night",""))))</f>
        <v/>
      </c>
      <c r="O61" s="38" t="str">
        <f>IF(OR($D61=O$2,$E61=O$2,$F61=O$2),"Day",IF($G61=O$2,"Night",IF(OR($H61=O$2,$I61=O$2),"FC3",IF($J61=O$2,"FC3 Night","OFF"))))</f>
        <v>OFF</v>
      </c>
      <c r="P61" s="38" t="str">
        <f>IF(OR($D61=P$2,$E61=P$2,$F61=P$2),"Day",IF($G61=P$2,"Night",IF(OR($H61=P$2,$I61=P$2),"FC3",IF($J61=P$2,"FC3 Night",""))))</f>
        <v>Day</v>
      </c>
      <c r="Q61" s="38" t="str">
        <f>IF(OR($D61=Q$2,$E61=Q$2,$F61=Q$2),"Day",IF($G61=Q$2,"Night",IF(OR($H61=Q$2,$I61=Q$2),"FC3",IF($J61=Q$2,"FC3 Night",""))))</f>
        <v>Day</v>
      </c>
      <c r="R61" s="38" t="str">
        <f t="shared" si="40"/>
        <v>Day</v>
      </c>
      <c r="S61" s="38" t="str">
        <f t="shared" si="33"/>
        <v>OFF</v>
      </c>
      <c r="T61" s="38" t="str">
        <f>IF(OR($D61=T$2,$E61=T$2,$F61=T$2),"Day",IF($G61=T$2,"Night",IF(OR($H61=T$2,$I61=T$2),"FC3",IF($J61=T$2,"FC3 Night","OFF"))))</f>
        <v>OFF</v>
      </c>
      <c r="U61" s="38" t="str">
        <f t="shared" si="34"/>
        <v/>
      </c>
      <c r="V61" s="38" t="str">
        <f t="shared" si="34"/>
        <v/>
      </c>
      <c r="W61" s="38" t="str">
        <f t="shared" si="34"/>
        <v/>
      </c>
      <c r="X61" s="38" t="str">
        <f t="shared" si="34"/>
        <v/>
      </c>
      <c r="Y61" s="38" t="str">
        <f t="shared" si="34"/>
        <v/>
      </c>
      <c r="Z61" s="38" t="str">
        <f t="shared" si="34"/>
        <v/>
      </c>
      <c r="AA61" s="128">
        <v>46375</v>
      </c>
    </row>
    <row r="62" spans="1:27" ht="18" customHeight="1" x14ac:dyDescent="0.35">
      <c r="A62" s="129" t="s">
        <v>165</v>
      </c>
      <c r="B62" s="115" t="s">
        <v>27</v>
      </c>
      <c r="C62" s="115" t="s">
        <v>17</v>
      </c>
      <c r="D62" s="61" t="s">
        <v>48</v>
      </c>
      <c r="E62" s="62" t="s">
        <v>46</v>
      </c>
      <c r="F62" s="62" t="s">
        <v>47</v>
      </c>
      <c r="G62" s="64" t="s">
        <v>44</v>
      </c>
      <c r="H62" s="42"/>
      <c r="I62" s="37"/>
      <c r="J62" s="44"/>
      <c r="K62" s="38" t="str">
        <f>IF(OR($D62=K$2,$E62=K$2,$F62=K$2),"Day",IF($G62=K$2,"Night",IF(OR($H62=K$2,$I62=K$2),"FC3",IF($J62=K$2,"FC3 Night",""))))</f>
        <v/>
      </c>
      <c r="L62" s="38" t="str">
        <f>IF(OR($D62=L$2,$E62=L$2,$F62=L$2),"Day",IF($G62=L$2,"Night",IF(OR($H62=L$2,$I62=L$2),"FC3",IF($J62=L$2,"FC3 Night","OFF"))))</f>
        <v>OFF</v>
      </c>
      <c r="M62" s="38" t="str">
        <f t="shared" si="35"/>
        <v/>
      </c>
      <c r="N62" s="38" t="str">
        <f>IF(OR($D62=N$2,$E62=N$2,$F62=N$2),"Day",IF($G62=N$2,"Night",IF(OR($H62=N$2,$I62=N$2),"FC3",IF($J62=N$2,"FC3 Night",""))))</f>
        <v>Night</v>
      </c>
      <c r="O62" s="38" t="str">
        <f>IF(OR($D62=O$2,$E62=O$2,$F62=O$2),"Day",IF($G62=O$2,"Night",IF(OR($H62=O$2,$I62=O$2),"FC3",IF($J62=O$2,"FC3 Night","OFF"))))</f>
        <v>OFF</v>
      </c>
      <c r="P62" s="38" t="str">
        <f>IF(OR($D62=P$2,$E62=P$2,$F62=P$2),"Day",IF($G62=P$2,"Night",IF(OR($H62=P$2,$I62=P$2),"FC3",IF($J62=P$2,"FC3 Night",""))))</f>
        <v>Day</v>
      </c>
      <c r="Q62" s="38" t="str">
        <f>IF(OR($D62=Q$2,$E62=Q$2,$F62=Q$2),"Day",IF($G62=Q$2,"Night",IF(OR($H62=Q$2,$I62=Q$2),"FC3",IF($J62=Q$2,"FC3 Night",""))))</f>
        <v>Day</v>
      </c>
      <c r="R62" s="38" t="str">
        <f t="shared" si="40"/>
        <v>Day</v>
      </c>
      <c r="S62" s="38" t="str">
        <f t="shared" si="33"/>
        <v>OFF</v>
      </c>
      <c r="T62" s="38" t="str">
        <f>IF(OR($D62=T$2,$E62=T$2,$F62=T$2),"Day",IF($G62=T$2,"Night",IF(OR($H62=T$2,$I62=T$2),"FC3",IF($J62=T$2,"FC3 Night","OFF"))))</f>
        <v>OFF</v>
      </c>
      <c r="U62" s="38" t="str">
        <f t="shared" si="34"/>
        <v/>
      </c>
      <c r="V62" s="38" t="str">
        <f t="shared" si="34"/>
        <v/>
      </c>
      <c r="W62" s="38" t="str">
        <f t="shared" si="34"/>
        <v/>
      </c>
      <c r="X62" s="38" t="str">
        <f t="shared" si="34"/>
        <v/>
      </c>
      <c r="Y62" s="38" t="str">
        <f t="shared" si="34"/>
        <v/>
      </c>
      <c r="Z62" s="38" t="str">
        <f t="shared" si="34"/>
        <v/>
      </c>
      <c r="AA62" s="128">
        <v>46376</v>
      </c>
    </row>
    <row r="63" spans="1:27" ht="16" customHeight="1" x14ac:dyDescent="0.35">
      <c r="A63" s="130" t="s">
        <v>166</v>
      </c>
      <c r="B63" s="59"/>
      <c r="C63" s="59"/>
      <c r="D63" s="60"/>
      <c r="E63" s="34"/>
      <c r="F63" s="34"/>
      <c r="G63" s="40"/>
      <c r="H63" s="39"/>
      <c r="I63" s="34"/>
      <c r="J63" s="40"/>
      <c r="K63" s="33" t="s">
        <v>100</v>
      </c>
      <c r="L63" s="33" t="s">
        <v>101</v>
      </c>
      <c r="M63" s="33" t="s">
        <v>100</v>
      </c>
      <c r="N63" s="33" t="s">
        <v>136</v>
      </c>
      <c r="O63" s="33" t="s">
        <v>136</v>
      </c>
      <c r="P63" s="33" t="s">
        <v>136</v>
      </c>
      <c r="Q63" s="33" t="s">
        <v>100</v>
      </c>
      <c r="R63" s="33" t="s">
        <v>101</v>
      </c>
      <c r="S63" s="33" t="s">
        <v>101</v>
      </c>
      <c r="T63" s="33" t="s">
        <v>100</v>
      </c>
      <c r="U63" s="33" t="s">
        <v>103</v>
      </c>
      <c r="V63" s="33" t="s">
        <v>103</v>
      </c>
      <c r="W63" s="33" t="s">
        <v>103</v>
      </c>
      <c r="X63" s="33" t="s">
        <v>103</v>
      </c>
      <c r="Y63" s="33" t="s">
        <v>103</v>
      </c>
      <c r="Z63" s="33" t="s">
        <v>103</v>
      </c>
      <c r="AA63" s="131"/>
    </row>
    <row r="64" spans="1:27" ht="18" customHeight="1" x14ac:dyDescent="0.35">
      <c r="A64" s="127" t="s">
        <v>167</v>
      </c>
      <c r="B64" s="114" t="s">
        <v>28</v>
      </c>
      <c r="C64" s="114" t="s">
        <v>19</v>
      </c>
      <c r="D64" s="61" t="s">
        <v>46</v>
      </c>
      <c r="E64" s="62" t="s">
        <v>47</v>
      </c>
      <c r="F64" s="62" t="s">
        <v>43</v>
      </c>
      <c r="G64" s="64" t="s">
        <v>44</v>
      </c>
      <c r="H64" s="41"/>
      <c r="I64" s="35"/>
      <c r="J64" s="43"/>
      <c r="K64" s="36" t="str">
        <f>IF(OR($D64=K$2,$E64=K$2,$F64=K$2),"Day",IF($G64=K$2,"Night",IF(OR($H64=K$2,$I64=K$2),"FC3",IF($J64=K$2,"FC3 Night",""))))</f>
        <v/>
      </c>
      <c r="L64" s="36" t="str">
        <f t="shared" ref="L64:L69" si="41">IF(OR($D64=L$2,$E64=L$2,$F64=L$2),"Day",IF($G64=L$2,"Night",IF(OR($H64=L$2,$I64=L$2),"FC3",IF($J64=L$2,"FC3 Night","OFF"))))</f>
        <v>OFF</v>
      </c>
      <c r="M64" s="36" t="str">
        <f t="shared" ref="M64:R64" si="42">IF(OR($D64=M$2,$E64=M$2,$F64=M$2),"Day",IF($G64=M$2,"Night",IF(OR($H64=M$2,$I64=M$2),"FC3",IF($J64=M$2,"FC3 Night",""))))</f>
        <v>Day</v>
      </c>
      <c r="N64" s="36" t="str">
        <f t="shared" si="42"/>
        <v>Night</v>
      </c>
      <c r="O64" s="36" t="str">
        <f t="shared" si="42"/>
        <v/>
      </c>
      <c r="P64" s="36" t="str">
        <f t="shared" si="42"/>
        <v>Day</v>
      </c>
      <c r="Q64" s="36" t="str">
        <f t="shared" si="42"/>
        <v>Day</v>
      </c>
      <c r="R64" s="36" t="str">
        <f t="shared" si="42"/>
        <v/>
      </c>
      <c r="S64" s="36" t="str">
        <f>IF(OR($D64=S$2,$E64=S$2,$F64=S$2),"Day",IF($G64=S$2,"Night",IF(OR($H64=S$2,$I64=S$2),"FC3",IF($J64=S$2,"FC3 Night","OFF"))))</f>
        <v>OFF</v>
      </c>
      <c r="T64" s="36" t="str">
        <f t="shared" ref="T64:Z68" si="43">IF(OR($D64=T$2,$E64=T$2,$F64=T$2),"Day",IF($G64=T$2,"Night",IF(OR($H64=T$2,$I64=T$2),"FC3",IF($J64=T$2,"FC3 Night",""))))</f>
        <v/>
      </c>
      <c r="U64" s="36" t="str">
        <f t="shared" si="43"/>
        <v/>
      </c>
      <c r="V64" s="36" t="str">
        <f t="shared" si="43"/>
        <v/>
      </c>
      <c r="W64" s="36" t="str">
        <f t="shared" si="43"/>
        <v/>
      </c>
      <c r="X64" s="36" t="str">
        <f t="shared" si="43"/>
        <v/>
      </c>
      <c r="Y64" s="36" t="str">
        <f t="shared" si="43"/>
        <v/>
      </c>
      <c r="Z64" s="36" t="str">
        <f t="shared" si="43"/>
        <v/>
      </c>
      <c r="AA64" s="128">
        <v>46377</v>
      </c>
    </row>
    <row r="65" spans="1:27" ht="18" customHeight="1" x14ac:dyDescent="0.35">
      <c r="A65" s="127" t="s">
        <v>168</v>
      </c>
      <c r="B65" s="114" t="s">
        <v>29</v>
      </c>
      <c r="C65" s="114" t="s">
        <v>19</v>
      </c>
      <c r="D65" s="61" t="s">
        <v>48</v>
      </c>
      <c r="E65" s="62" t="s">
        <v>2</v>
      </c>
      <c r="F65" s="62" t="s">
        <v>49</v>
      </c>
      <c r="G65" s="64" t="s">
        <v>44</v>
      </c>
      <c r="H65" s="41"/>
      <c r="I65" s="35"/>
      <c r="J65" s="43"/>
      <c r="K65" s="36" t="str">
        <f>IF(OR($D65=K$2,$E65=K$2,$F65=K$2),"Day",IF($G65=K$2,"Night",IF(OR($H65=K$2,$I65=K$2),"FC3",IF($J65=K$2,"FC3 Night",""))))</f>
        <v>Day</v>
      </c>
      <c r="L65" s="36" t="str">
        <f t="shared" si="41"/>
        <v>OFF</v>
      </c>
      <c r="M65" s="36" t="str">
        <f t="shared" ref="M65:O66" si="44">IF(OR($D65=M$2,$E65=M$2,$F65=M$2),"Day",IF($G65=M$2,"Night",IF(OR($H65=M$2,$I65=M$2),"FC3",IF($J65=M$2,"FC3 Night",""))))</f>
        <v/>
      </c>
      <c r="N65" s="36" t="str">
        <f t="shared" si="44"/>
        <v>Night</v>
      </c>
      <c r="O65" s="36" t="str">
        <f t="shared" si="44"/>
        <v/>
      </c>
      <c r="P65" s="36" t="str">
        <f t="shared" ref="P65:P70" si="45">IF(OR($D65=P$2,$E65=P$2,$F65=P$2),"Day",IF($G65=P$2,"Night",IF(OR($H65=P$2,$I65=P$2),"FC3",IF($J65=P$2,"FC3 Night","OFF"))))</f>
        <v>OFF</v>
      </c>
      <c r="Q65" s="36" t="str">
        <f t="shared" ref="Q65:S66" si="46">IF(OR($D65=Q$2,$E65=Q$2,$F65=Q$2),"Day",IF($G65=Q$2,"Night",IF(OR($H65=Q$2,$I65=Q$2),"FC3",IF($J65=Q$2,"FC3 Night",""))))</f>
        <v/>
      </c>
      <c r="R65" s="36" t="str">
        <f t="shared" si="46"/>
        <v>Day</v>
      </c>
      <c r="S65" s="36" t="str">
        <f t="shared" si="46"/>
        <v>Day</v>
      </c>
      <c r="T65" s="36" t="str">
        <f t="shared" si="43"/>
        <v/>
      </c>
      <c r="U65" s="36" t="str">
        <f t="shared" si="43"/>
        <v/>
      </c>
      <c r="V65" s="36" t="str">
        <f t="shared" si="43"/>
        <v/>
      </c>
      <c r="W65" s="36" t="str">
        <f t="shared" si="43"/>
        <v/>
      </c>
      <c r="X65" s="36" t="str">
        <f t="shared" si="43"/>
        <v/>
      </c>
      <c r="Y65" s="36" t="str">
        <f t="shared" si="43"/>
        <v/>
      </c>
      <c r="Z65" s="36" t="str">
        <f t="shared" si="43"/>
        <v/>
      </c>
      <c r="AA65" s="128">
        <v>46378</v>
      </c>
    </row>
    <row r="66" spans="1:27" ht="18" customHeight="1" x14ac:dyDescent="0.35">
      <c r="A66" s="127" t="s">
        <v>169</v>
      </c>
      <c r="B66" s="114" t="s">
        <v>30</v>
      </c>
      <c r="C66" s="114" t="s">
        <v>19</v>
      </c>
      <c r="D66" s="61" t="s">
        <v>48</v>
      </c>
      <c r="E66" s="62" t="s">
        <v>49</v>
      </c>
      <c r="F66" s="62" t="s">
        <v>43</v>
      </c>
      <c r="G66" s="64" t="s">
        <v>50</v>
      </c>
      <c r="H66" s="41"/>
      <c r="I66" s="35"/>
      <c r="J66" s="43"/>
      <c r="K66" s="36" t="str">
        <f>IF(OR($D66=K$2,$E66=K$2,$F66=K$2),"Day",IF($G66=K$2,"Night",IF(OR($H66=K$2,$I66=K$2),"FC3",IF($J66=K$2,"FC3 Night",""))))</f>
        <v/>
      </c>
      <c r="L66" s="36" t="str">
        <f t="shared" si="41"/>
        <v>OFF</v>
      </c>
      <c r="M66" s="36" t="str">
        <f t="shared" si="44"/>
        <v>Day</v>
      </c>
      <c r="N66" s="36" t="str">
        <f t="shared" si="44"/>
        <v/>
      </c>
      <c r="O66" s="36" t="str">
        <f t="shared" si="44"/>
        <v/>
      </c>
      <c r="P66" s="36" t="str">
        <f t="shared" si="45"/>
        <v>OFF</v>
      </c>
      <c r="Q66" s="36" t="str">
        <f t="shared" si="46"/>
        <v/>
      </c>
      <c r="R66" s="36" t="str">
        <f t="shared" si="46"/>
        <v>Day</v>
      </c>
      <c r="S66" s="36" t="str">
        <f t="shared" si="46"/>
        <v>Day</v>
      </c>
      <c r="T66" s="36" t="str">
        <f t="shared" si="43"/>
        <v>Night</v>
      </c>
      <c r="U66" s="36" t="str">
        <f t="shared" si="43"/>
        <v/>
      </c>
      <c r="V66" s="36" t="str">
        <f t="shared" si="43"/>
        <v/>
      </c>
      <c r="W66" s="36" t="str">
        <f t="shared" si="43"/>
        <v/>
      </c>
      <c r="X66" s="36" t="str">
        <f t="shared" si="43"/>
        <v/>
      </c>
      <c r="Y66" s="36" t="str">
        <f t="shared" si="43"/>
        <v/>
      </c>
      <c r="Z66" s="36" t="str">
        <f t="shared" si="43"/>
        <v/>
      </c>
      <c r="AA66" s="128">
        <v>46379</v>
      </c>
    </row>
    <row r="67" spans="1:27" ht="18" customHeight="1" x14ac:dyDescent="0.35">
      <c r="A67" s="127" t="s">
        <v>170</v>
      </c>
      <c r="B67" s="114" t="s">
        <v>31</v>
      </c>
      <c r="C67" s="114" t="s">
        <v>19</v>
      </c>
      <c r="D67" s="61" t="s">
        <v>43</v>
      </c>
      <c r="E67" s="62" t="s">
        <v>47</v>
      </c>
      <c r="F67" s="63" t="s">
        <v>105</v>
      </c>
      <c r="G67" s="64" t="s">
        <v>50</v>
      </c>
      <c r="H67" s="41"/>
      <c r="I67" s="35"/>
      <c r="J67" s="43"/>
      <c r="K67" s="36" t="str">
        <f>IF(OR($D67=K$2,$E67=K$2,$F67=K$2),"Day",IF($G67=K$2,"Night",IF(OR($H67=K$2,$I67=K$2),"FC3",IF($J67=K$2,"FC3 Night","OFF"))))</f>
        <v>OFF</v>
      </c>
      <c r="L67" s="36" t="str">
        <f t="shared" si="41"/>
        <v>OFF</v>
      </c>
      <c r="M67" s="36" t="str">
        <f t="shared" ref="M67:M73" si="47">IF(OR($D67=M$2,$E67=M$2,$F67=M$2),"Day",IF($G67=M$2,"Night",IF(OR($H67=M$2,$I67=M$2),"FC3",IF($J67=M$2,"FC3 Night",""))))</f>
        <v>Day</v>
      </c>
      <c r="N67" s="36" t="str">
        <f t="shared" ref="N67:O70" si="48">IF(OR($D67=N$2,$E67=N$2,$F67=N$2),"Day",IF($G67=N$2,"Night",IF(OR($H67=N$2,$I67=N$2),"FC3",IF($J67=N$2,"FC3 Night","OFF"))))</f>
        <v>OFF</v>
      </c>
      <c r="O67" s="36" t="str">
        <f t="shared" si="48"/>
        <v>OFF</v>
      </c>
      <c r="P67" s="36" t="str">
        <f t="shared" si="45"/>
        <v>OFF</v>
      </c>
      <c r="Q67" s="36" t="str">
        <f>IF(OR($D67=Q$2,$E67=Q$2,$F67=Q$2),"Day",IF($G67=Q$2,"Night",IF(OR($H67=Q$2,$I67=Q$2),"FC3",IF($J67=Q$2,"FC3 Night",""))))</f>
        <v>Day</v>
      </c>
      <c r="R67" s="36" t="str">
        <f>IF(OR($D67=R$2,$E67=R$2,$F67=R$2),"Day",IF($G67=R$2,"Night",IF(OR($H67=R$2,$I67=R$2),"FC3",IF($J67=R$2,"FC3 Night","OFF"))))</f>
        <v>OFF</v>
      </c>
      <c r="S67" s="36" t="str">
        <f>IF(OR($D67=S$2,$E67=S$2,$F67=S$2),"Day",IF($G67=S$2,"Night",IF(OR($H67=S$2,$I67=S$2),"FC3",IF($J67=S$2,"FC3 Night","OFF"))))</f>
        <v>OFF</v>
      </c>
      <c r="T67" s="36" t="str">
        <f t="shared" si="43"/>
        <v>Night</v>
      </c>
      <c r="U67" s="36" t="str">
        <f t="shared" si="43"/>
        <v/>
      </c>
      <c r="V67" s="36" t="str">
        <f t="shared" si="43"/>
        <v/>
      </c>
      <c r="W67" s="36" t="str">
        <f t="shared" si="43"/>
        <v/>
      </c>
      <c r="X67" s="36" t="str">
        <f t="shared" si="43"/>
        <v/>
      </c>
      <c r="Y67" s="36" t="str">
        <f t="shared" si="43"/>
        <v/>
      </c>
      <c r="Z67" s="36" t="str">
        <f t="shared" si="43"/>
        <v/>
      </c>
      <c r="AA67" s="128">
        <v>46380</v>
      </c>
    </row>
    <row r="68" spans="1:27" ht="18" customHeight="1" x14ac:dyDescent="0.35">
      <c r="A68" s="127" t="s">
        <v>171</v>
      </c>
      <c r="B68" s="114" t="s">
        <v>32</v>
      </c>
      <c r="C68" s="114" t="s">
        <v>19</v>
      </c>
      <c r="D68" s="61" t="s">
        <v>47</v>
      </c>
      <c r="E68" s="62" t="s">
        <v>43</v>
      </c>
      <c r="F68" s="63" t="s">
        <v>105</v>
      </c>
      <c r="G68" s="64" t="s">
        <v>50</v>
      </c>
      <c r="H68" s="41"/>
      <c r="I68" s="35"/>
      <c r="J68" s="43"/>
      <c r="K68" s="36" t="str">
        <f>IF(OR($D68=K$2,$E68=K$2,$F68=K$2),"Day",IF($G68=K$2,"Night",IF(OR($H68=K$2,$I68=K$2),"FC3",IF($J68=K$2,"FC3 Night","OFF"))))</f>
        <v>OFF</v>
      </c>
      <c r="L68" s="36" t="str">
        <f t="shared" si="41"/>
        <v>OFF</v>
      </c>
      <c r="M68" s="36" t="str">
        <f t="shared" si="47"/>
        <v>Day</v>
      </c>
      <c r="N68" s="36" t="str">
        <f t="shared" si="48"/>
        <v>OFF</v>
      </c>
      <c r="O68" s="36" t="str">
        <f t="shared" si="48"/>
        <v>OFF</v>
      </c>
      <c r="P68" s="36" t="str">
        <f t="shared" si="45"/>
        <v>OFF</v>
      </c>
      <c r="Q68" s="36" t="str">
        <f>IF(OR($D68=Q$2,$E68=Q$2,$F68=Q$2),"Day",IF($G68=Q$2,"Night",IF(OR($H68=Q$2,$I68=Q$2),"FC3",IF($J68=Q$2,"FC3 Night",""))))</f>
        <v>Day</v>
      </c>
      <c r="R68" s="36" t="str">
        <f>IF(OR($D68=R$2,$E68=R$2,$F68=R$2),"Day",IF($G68=R$2,"Night",IF(OR($H68=R$2,$I68=R$2),"FC3",IF($J68=R$2,"FC3 Night","OFF"))))</f>
        <v>OFF</v>
      </c>
      <c r="S68" s="36" t="str">
        <f>IF(OR($D68=S$2,$E68=S$2,$F68=S$2),"Day",IF($G68=S$2,"Night",IF(OR($H68=S$2,$I68=S$2),"FC3",IF($J68=S$2,"FC3 Night","OFF"))))</f>
        <v>OFF</v>
      </c>
      <c r="T68" s="36" t="str">
        <f t="shared" si="43"/>
        <v>Night</v>
      </c>
      <c r="U68" s="36" t="str">
        <f t="shared" si="43"/>
        <v/>
      </c>
      <c r="V68" s="36" t="str">
        <f t="shared" si="43"/>
        <v/>
      </c>
      <c r="W68" s="36" t="str">
        <f t="shared" si="43"/>
        <v/>
      </c>
      <c r="X68" s="36" t="str">
        <f t="shared" si="43"/>
        <v/>
      </c>
      <c r="Y68" s="36" t="str">
        <f t="shared" si="43"/>
        <v/>
      </c>
      <c r="Z68" s="36" t="str">
        <f t="shared" si="43"/>
        <v/>
      </c>
      <c r="AA68" s="128">
        <v>46381</v>
      </c>
    </row>
    <row r="69" spans="1:27" ht="18" customHeight="1" x14ac:dyDescent="0.35">
      <c r="A69" s="129" t="s">
        <v>172</v>
      </c>
      <c r="B69" s="115" t="s">
        <v>33</v>
      </c>
      <c r="C69" s="115" t="s">
        <v>19</v>
      </c>
      <c r="D69" s="61" t="s">
        <v>43</v>
      </c>
      <c r="E69" s="62" t="s">
        <v>2</v>
      </c>
      <c r="F69" s="63" t="s">
        <v>105</v>
      </c>
      <c r="G69" s="64" t="s">
        <v>48</v>
      </c>
      <c r="H69" s="42"/>
      <c r="I69" s="37"/>
      <c r="J69" s="44"/>
      <c r="K69" s="38" t="str">
        <f t="shared" ref="K69:K77" si="49">IF(OR($D69=K$2,$E69=K$2,$F69=K$2),"Day",IF($G69=K$2,"Night",IF(OR($H69=K$2,$I69=K$2),"FC3",IF($J69=K$2,"FC3 Night",""))))</f>
        <v>Day</v>
      </c>
      <c r="L69" s="38" t="str">
        <f t="shared" si="41"/>
        <v>OFF</v>
      </c>
      <c r="M69" s="38" t="str">
        <f t="shared" si="47"/>
        <v>Day</v>
      </c>
      <c r="N69" s="38" t="str">
        <f t="shared" si="48"/>
        <v>OFF</v>
      </c>
      <c r="O69" s="38" t="str">
        <f t="shared" si="48"/>
        <v>OFF</v>
      </c>
      <c r="P69" s="38" t="str">
        <f t="shared" si="45"/>
        <v>OFF</v>
      </c>
      <c r="Q69" s="38" t="str">
        <f>IF(OR($D69=Q$2,$E69=Q$2,$F69=Q$2),"Day",IF($G69=Q$2,"Night",IF(OR($H69=Q$2,$I69=Q$2),"FC3",IF($J69=Q$2,"FC3 Night",""))))</f>
        <v/>
      </c>
      <c r="R69" s="38" t="str">
        <f>IF(OR($D69=R$2,$E69=R$2,$F69=R$2),"Day",IF($G69=R$2,"Night",IF(OR($H69=R$2,$I69=R$2),"FC3",IF($J69=R$2,"FC3 Night",""))))</f>
        <v>Night</v>
      </c>
      <c r="S69" s="38" t="str">
        <f>IF(OR($D69=S$2,$E69=S$2,$F69=S$2),"Day",IF($G69=S$2,"Night",IF(OR($H69=S$2,$I69=S$2),"FC3",IF($J69=S$2,"FC3 Night",IF(AND(COUNTA($D69:$G69)&lt;4,Summary!$AA$12&lt;Summary!$AA$5),"Yellow","")))))</f>
        <v/>
      </c>
      <c r="T69" s="38" t="str">
        <f>IF(OR($D69=T$2,$E69=T$2,$F69=T$2),"Day",IF($G69=T$2,"Night",IF(OR($H69=T$2,$I69=T$2),"FC3",IF($J69=T$2,"FC3 Night",IF(AND(COUNTA($D69:$G69)&lt;4,Summary!$AB$12&lt;Summary!$AB$5),"Yellow","")))))</f>
        <v/>
      </c>
      <c r="U69" s="38" t="str">
        <f t="shared" ref="U69:Z77" si="50">IF(OR($D69=U$2,$E69=U$2,$F69=U$2),"Day",IF($G69=U$2,"Night",IF(OR($H69=U$2,$I69=U$2),"FC3",IF($J69=U$2,"FC3 Night",""))))</f>
        <v/>
      </c>
      <c r="V69" s="38" t="str">
        <f t="shared" si="50"/>
        <v/>
      </c>
      <c r="W69" s="38" t="str">
        <f t="shared" si="50"/>
        <v/>
      </c>
      <c r="X69" s="38" t="str">
        <f t="shared" si="50"/>
        <v/>
      </c>
      <c r="Y69" s="38" t="str">
        <f t="shared" si="50"/>
        <v/>
      </c>
      <c r="Z69" s="38" t="str">
        <f t="shared" si="50"/>
        <v/>
      </c>
      <c r="AA69" s="128">
        <v>46382</v>
      </c>
    </row>
    <row r="70" spans="1:27" ht="18" customHeight="1" x14ac:dyDescent="0.35">
      <c r="A70" s="129" t="s">
        <v>173</v>
      </c>
      <c r="B70" s="115" t="s">
        <v>27</v>
      </c>
      <c r="C70" s="115" t="s">
        <v>19</v>
      </c>
      <c r="D70" s="61" t="s">
        <v>43</v>
      </c>
      <c r="E70" s="62" t="s">
        <v>2</v>
      </c>
      <c r="F70" s="62" t="s">
        <v>42</v>
      </c>
      <c r="G70" s="64" t="s">
        <v>48</v>
      </c>
      <c r="H70" s="42"/>
      <c r="I70" s="37"/>
      <c r="J70" s="44"/>
      <c r="K70" s="38" t="str">
        <f t="shared" si="49"/>
        <v>Day</v>
      </c>
      <c r="L70" s="38" t="str">
        <f t="shared" ref="L70:L75" si="51">IF(OR($D70=L$2,$E70=L$2,$F70=L$2),"Day",IF($G70=L$2,"Night",IF(OR($H70=L$2,$I70=L$2),"FC3",IF($J70=L$2,"FC3 Night",""))))</f>
        <v>Day</v>
      </c>
      <c r="M70" s="38" t="str">
        <f t="shared" si="47"/>
        <v>Day</v>
      </c>
      <c r="N70" s="38" t="str">
        <f t="shared" si="48"/>
        <v>OFF</v>
      </c>
      <c r="O70" s="38" t="str">
        <f t="shared" si="48"/>
        <v>OFF</v>
      </c>
      <c r="P70" s="38" t="str">
        <f t="shared" si="45"/>
        <v>OFF</v>
      </c>
      <c r="Q70" s="38" t="str">
        <f>IF(OR($D70=Q$2,$E70=Q$2,$F70=Q$2),"Day",IF($G70=Q$2,"Night",IF(OR($H70=Q$2,$I70=Q$2),"FC3",IF($J70=Q$2,"FC3 Night","OFF"))))</f>
        <v>OFF</v>
      </c>
      <c r="R70" s="38" t="str">
        <f>IF(OR($D70=R$2,$E70=R$2,$F70=R$2),"Day",IF($G70=R$2,"Night",IF(OR($H70=R$2,$I70=R$2),"FC3",IF($J70=R$2,"FC3 Night",""))))</f>
        <v>Night</v>
      </c>
      <c r="S70" s="38" t="str">
        <f>IF(OR($D70=S$2,$E70=S$2,$F70=S$2),"Day",IF($G70=S$2,"Night",IF(OR($H70=S$2,$I70=S$2),"FC3",IF($J70=S$2,"FC3 Night",IF(AND(COUNTA($D70:$G70)&lt;4,Summary!$AA$12&lt;Summary!$AA$5),"Yellow","")))))</f>
        <v/>
      </c>
      <c r="T70" s="38" t="str">
        <f>IF(OR($D70=T$2,$E70=T$2,$F70=T$2),"Day",IF($G70=T$2,"Night",IF(OR($H70=T$2,$I70=T$2),"FC3",IF($J70=T$2,"FC3 Night",IF(AND(COUNTA($D70:$G70)&lt;4,Summary!$AB$12&lt;Summary!$AB$5),"Yellow","")))))</f>
        <v/>
      </c>
      <c r="U70" s="38" t="str">
        <f t="shared" si="50"/>
        <v/>
      </c>
      <c r="V70" s="38" t="str">
        <f t="shared" si="50"/>
        <v/>
      </c>
      <c r="W70" s="38" t="str">
        <f t="shared" si="50"/>
        <v/>
      </c>
      <c r="X70" s="38" t="str">
        <f t="shared" si="50"/>
        <v/>
      </c>
      <c r="Y70" s="38" t="str">
        <f t="shared" si="50"/>
        <v/>
      </c>
      <c r="Z70" s="38" t="str">
        <f t="shared" si="50"/>
        <v/>
      </c>
      <c r="AA70" s="128">
        <v>46383</v>
      </c>
    </row>
    <row r="71" spans="1:27" ht="18" customHeight="1" x14ac:dyDescent="0.35">
      <c r="A71" s="127" t="s">
        <v>174</v>
      </c>
      <c r="B71" s="114" t="s">
        <v>28</v>
      </c>
      <c r="C71" s="114" t="s">
        <v>19</v>
      </c>
      <c r="D71" s="61" t="s">
        <v>49</v>
      </c>
      <c r="E71" s="62" t="s">
        <v>47</v>
      </c>
      <c r="F71" s="62" t="s">
        <v>42</v>
      </c>
      <c r="G71" s="64" t="s">
        <v>48</v>
      </c>
      <c r="H71" s="41"/>
      <c r="I71" s="35"/>
      <c r="J71" s="43"/>
      <c r="K71" s="36" t="str">
        <f t="shared" si="49"/>
        <v/>
      </c>
      <c r="L71" s="36" t="str">
        <f t="shared" si="51"/>
        <v>Day</v>
      </c>
      <c r="M71" s="36" t="str">
        <f t="shared" si="47"/>
        <v/>
      </c>
      <c r="N71" s="36" t="str">
        <f>IF(OR($D71=N$2,$E71=N$2,$F71=N$2),"Day",IF($G71=N$2,"Night",IF(OR($H71=N$2,$I71=N$2),"FC3",IF($J71=N$2,"FC3 Night",IF(AND(COUNTA($D71:$G71)&lt;4,Summary!$V$12&lt;Summary!$V$5),"Yellow","")))))</f>
        <v/>
      </c>
      <c r="O71" s="36" t="str">
        <f>IF(OR($D71=O$2,$E71=O$2,$F71=O$2),"Day",IF($G71=O$2,"Night",IF(OR($H71=O$2,$I71=O$2),"FC3",IF($J71=O$2,"FC3 Night","OFF"))))</f>
        <v>OFF</v>
      </c>
      <c r="P71" s="36" t="str">
        <f>IF(OR($D71=P$2,$E71=P$2,$F71=P$2),"Day",IF($G71=P$2,"Night",IF(OR($H71=P$2,$I71=P$2),"FC3",IF($J71=P$2,"FC3 Night",IF(AND(COUNTA($D71:$G71)&lt;4,Summary!$X$12&lt;Summary!$X$5),"Yellow","")))))</f>
        <v/>
      </c>
      <c r="Q71" s="36" t="str">
        <f>IF(OR($D71=Q$2,$E71=Q$2,$F71=Q$2),"Day",IF($G71=Q$2,"Night",IF(OR($H71=Q$2,$I71=Q$2),"FC3",IF($J71=Q$2,"FC3 Night",""))))</f>
        <v>Day</v>
      </c>
      <c r="R71" s="36" t="str">
        <f>IF(OR($D71=R$2,$E71=R$2,$F71=R$2),"Day",IF($G71=R$2,"Night",IF(OR($H71=R$2,$I71=R$2),"FC3",IF($J71=R$2,"FC3 Night",""))))</f>
        <v>Night</v>
      </c>
      <c r="S71" s="36" t="str">
        <f>IF(OR($D71=S$2,$E71=S$2,$F71=S$2),"Day",IF($G71=S$2,"Night",IF(OR($H71=S$2,$I71=S$2),"FC3",IF($J71=S$2,"FC3 Night",""))))</f>
        <v>Day</v>
      </c>
      <c r="T71" s="36" t="str">
        <f>IF(OR($D71=T$2,$E71=T$2,$F71=T$2),"Day",IF($G71=T$2,"Night",IF(OR($H71=T$2,$I71=T$2),"FC3",IF($J71=T$2,"FC3 Night",IF(AND(COUNTA($D71:$G71)&lt;4,Summary!$AB$12&lt;Summary!$AB$5),"Yellow","")))))</f>
        <v/>
      </c>
      <c r="U71" s="36" t="str">
        <f t="shared" si="50"/>
        <v/>
      </c>
      <c r="V71" s="36" t="str">
        <f t="shared" si="50"/>
        <v/>
      </c>
      <c r="W71" s="36" t="str">
        <f t="shared" si="50"/>
        <v/>
      </c>
      <c r="X71" s="36" t="str">
        <f t="shared" si="50"/>
        <v/>
      </c>
      <c r="Y71" s="36" t="str">
        <f t="shared" si="50"/>
        <v/>
      </c>
      <c r="Z71" s="36" t="str">
        <f t="shared" si="50"/>
        <v/>
      </c>
      <c r="AA71" s="128">
        <v>46384</v>
      </c>
    </row>
    <row r="72" spans="1:27" ht="18" customHeight="1" x14ac:dyDescent="0.35">
      <c r="A72" s="127" t="s">
        <v>175</v>
      </c>
      <c r="B72" s="114" t="s">
        <v>29</v>
      </c>
      <c r="C72" s="114" t="s">
        <v>19</v>
      </c>
      <c r="D72" s="61" t="s">
        <v>47</v>
      </c>
      <c r="E72" s="62" t="s">
        <v>44</v>
      </c>
      <c r="F72" s="62" t="s">
        <v>42</v>
      </c>
      <c r="G72" s="64" t="s">
        <v>46</v>
      </c>
      <c r="H72" s="41"/>
      <c r="I72" s="35"/>
      <c r="J72" s="43"/>
      <c r="K72" s="36" t="str">
        <f t="shared" si="49"/>
        <v/>
      </c>
      <c r="L72" s="36" t="str">
        <f t="shared" si="51"/>
        <v>Day</v>
      </c>
      <c r="M72" s="36" t="str">
        <f t="shared" si="47"/>
        <v/>
      </c>
      <c r="N72" s="36" t="str">
        <f>IF(OR($D72=N$2,$E72=N$2,$F72=N$2),"Day",IF($G72=N$2,"Night",IF(OR($H72=N$2,$I72=N$2),"FC3",IF($J72=N$2,"FC3 Night",""))))</f>
        <v>Day</v>
      </c>
      <c r="O72" s="36" t="str">
        <f>IF(OR($D72=O$2,$E72=O$2,$F72=O$2),"Day",IF($G72=O$2,"Night",IF(OR($H72=O$2,$I72=O$2),"FC3",IF($J72=O$2,"FC3 Night","OFF"))))</f>
        <v>OFF</v>
      </c>
      <c r="P72" s="36" t="str">
        <f>IF(OR($D72=P$2,$E72=P$2,$F72=P$2),"Day",IF($G72=P$2,"Night",IF(OR($H72=P$2,$I72=P$2),"FC3",IF($J72=P$2,"FC3 Night",""))))</f>
        <v>Night</v>
      </c>
      <c r="Q72" s="36" t="str">
        <f>IF(OR($D72=Q$2,$E72=Q$2,$F72=Q$2),"Day",IF($G72=Q$2,"Night",IF(OR($H72=Q$2,$I72=Q$2),"FC3",IF($J72=Q$2,"FC3 Night",""))))</f>
        <v>Day</v>
      </c>
      <c r="R72" s="36" t="str">
        <f>IF(OR($D72=R$2,$E72=R$2,$F72=R$2),"Day",IF($G72=R$2,"Night",IF(OR($H72=R$2,$I72=R$2),"FC3",IF($J72=R$2,"FC3 Night",""))))</f>
        <v/>
      </c>
      <c r="S72" s="36" t="str">
        <f>IF(OR($D72=S$2,$E72=S$2,$F72=S$2),"Day",IF($G72=S$2,"Night",IF(OR($H72=S$2,$I72=S$2),"FC3",IF($J72=S$2,"FC3 Night",""))))</f>
        <v/>
      </c>
      <c r="T72" s="36" t="str">
        <f>IF(OR($D72=T$2,$E72=T$2,$F72=T$2),"Day",IF($G72=T$2,"Night",IF(OR($H72=T$2,$I72=T$2),"FC3",IF($J72=T$2,"FC3 Night",IF(AND(COUNTA($D72:$G72)&lt;4,Summary!$AB$12&lt;Summary!$AB$5),"Yellow","")))))</f>
        <v/>
      </c>
      <c r="U72" s="36" t="str">
        <f t="shared" si="50"/>
        <v/>
      </c>
      <c r="V72" s="36" t="str">
        <f t="shared" si="50"/>
        <v/>
      </c>
      <c r="W72" s="36" t="str">
        <f t="shared" si="50"/>
        <v/>
      </c>
      <c r="X72" s="36" t="str">
        <f t="shared" si="50"/>
        <v/>
      </c>
      <c r="Y72" s="36" t="str">
        <f t="shared" si="50"/>
        <v/>
      </c>
      <c r="Z72" s="36" t="str">
        <f t="shared" si="50"/>
        <v/>
      </c>
      <c r="AA72" s="128">
        <v>46385</v>
      </c>
    </row>
    <row r="73" spans="1:27" ht="18" customHeight="1" x14ac:dyDescent="0.35">
      <c r="A73" s="127" t="s">
        <v>176</v>
      </c>
      <c r="B73" s="114" t="s">
        <v>30</v>
      </c>
      <c r="C73" s="114" t="s">
        <v>19</v>
      </c>
      <c r="D73" s="61" t="s">
        <v>47</v>
      </c>
      <c r="E73" s="62" t="s">
        <v>44</v>
      </c>
      <c r="F73" s="62" t="s">
        <v>50</v>
      </c>
      <c r="G73" s="64" t="s">
        <v>2</v>
      </c>
      <c r="H73" s="41"/>
      <c r="I73" s="35"/>
      <c r="J73" s="43"/>
      <c r="K73" s="36" t="str">
        <f t="shared" si="49"/>
        <v>Night</v>
      </c>
      <c r="L73" s="36" t="str">
        <f t="shared" si="51"/>
        <v/>
      </c>
      <c r="M73" s="36" t="str">
        <f t="shared" si="47"/>
        <v/>
      </c>
      <c r="N73" s="36" t="str">
        <f>IF(OR($D73=N$2,$E73=N$2,$F73=N$2),"Day",IF($G73=N$2,"Night",IF(OR($H73=N$2,$I73=N$2),"FC3",IF($J73=N$2,"FC3 Night",""))))</f>
        <v>Day</v>
      </c>
      <c r="O73" s="36" t="str">
        <f>IF(OR($D73=O$2,$E73=O$2,$F73=O$2),"Day",IF($G73=O$2,"Night",IF(OR($H73=O$2,$I73=O$2),"FC3",IF($J73=O$2,"FC3 Night","OFF"))))</f>
        <v>OFF</v>
      </c>
      <c r="P73" s="36" t="str">
        <f>IF(OR($D73=P$2,$E73=P$2,$F73=P$2),"Day",IF($G73=P$2,"Night",IF(OR($H73=P$2,$I73=P$2),"FC3",IF($J73=P$2,"FC3 Night",""))))</f>
        <v/>
      </c>
      <c r="Q73" s="36" t="str">
        <f>IF(OR($D73=Q$2,$E73=Q$2,$F73=Q$2),"Day",IF($G73=Q$2,"Night",IF(OR($H73=Q$2,$I73=Q$2),"FC3",IF($J73=Q$2,"FC3 Night",""))))</f>
        <v>Day</v>
      </c>
      <c r="R73" s="36" t="str">
        <f>IF(OR($D73=R$2,$E73=R$2,$F73=R$2),"Day",IF($G73=R$2,"Night",IF(OR($H73=R$2,$I73=R$2),"FC3",IF($J73=R$2,"FC3 Night",""))))</f>
        <v/>
      </c>
      <c r="S73" s="36" t="str">
        <f>IF(OR($D73=S$2,$E73=S$2,$F73=S$2),"Day",IF($G73=S$2,"Night",IF(OR($H73=S$2,$I73=S$2),"FC3",IF($J73=S$2,"FC3 Night",""))))</f>
        <v/>
      </c>
      <c r="T73" s="36" t="str">
        <f>IF(OR($D73=T$2,$E73=T$2,$F73=T$2),"Day",IF($G73=T$2,"Night",IF(OR($H73=T$2,$I73=T$2),"FC3",IF($J73=T$2,"FC3 Night",""))))</f>
        <v>Day</v>
      </c>
      <c r="U73" s="36" t="str">
        <f t="shared" si="50"/>
        <v/>
      </c>
      <c r="V73" s="36" t="str">
        <f t="shared" si="50"/>
        <v/>
      </c>
      <c r="W73" s="36" t="str">
        <f t="shared" si="50"/>
        <v/>
      </c>
      <c r="X73" s="36" t="str">
        <f t="shared" si="50"/>
        <v/>
      </c>
      <c r="Y73" s="36" t="str">
        <f t="shared" si="50"/>
        <v/>
      </c>
      <c r="Z73" s="36" t="str">
        <f t="shared" si="50"/>
        <v/>
      </c>
      <c r="AA73" s="128">
        <v>46386</v>
      </c>
    </row>
    <row r="74" spans="1:27" ht="18" customHeight="1" x14ac:dyDescent="0.35">
      <c r="A74" s="127" t="s">
        <v>177</v>
      </c>
      <c r="B74" s="114" t="s">
        <v>31</v>
      </c>
      <c r="C74" s="114" t="s">
        <v>19</v>
      </c>
      <c r="D74" s="61" t="s">
        <v>42</v>
      </c>
      <c r="E74" s="62" t="s">
        <v>45</v>
      </c>
      <c r="F74" s="63" t="s">
        <v>105</v>
      </c>
      <c r="G74" s="64" t="s">
        <v>2</v>
      </c>
      <c r="H74" s="41"/>
      <c r="I74" s="35"/>
      <c r="J74" s="43"/>
      <c r="K74" s="36" t="str">
        <f t="shared" si="49"/>
        <v>Night</v>
      </c>
      <c r="L74" s="36" t="str">
        <f t="shared" si="51"/>
        <v>Day</v>
      </c>
      <c r="M74" s="36" t="str">
        <f t="shared" ref="M74:N77" si="52">IF(OR($D74=M$2,$E74=M$2,$F74=M$2),"Day",IF($G74=M$2,"Night",IF(OR($H74=M$2,$I74=M$2),"FC3",IF($J74=M$2,"FC3 Night","OFF"))))</f>
        <v>OFF</v>
      </c>
      <c r="N74" s="36" t="str">
        <f t="shared" si="52"/>
        <v>OFF</v>
      </c>
      <c r="O74" s="36" t="str">
        <f>IF(OR($D74=O$2,$E74=O$2,$F74=O$2),"Day",IF($G74=O$2,"Night",IF(OR($H74=O$2,$I74=O$2),"FC3",IF($J74=O$2,"FC3 Night",""))))</f>
        <v>Day</v>
      </c>
      <c r="P74" s="36" t="str">
        <f t="shared" ref="P74:T75" si="53">IF(OR($D74=P$2,$E74=P$2,$F74=P$2),"Day",IF($G74=P$2,"Night",IF(OR($H74=P$2,$I74=P$2),"FC3",IF($J74=P$2,"FC3 Night","OFF"))))</f>
        <v>OFF</v>
      </c>
      <c r="Q74" s="36" t="str">
        <f t="shared" si="53"/>
        <v>OFF</v>
      </c>
      <c r="R74" s="36" t="str">
        <f t="shared" si="53"/>
        <v>OFF</v>
      </c>
      <c r="S74" s="36" t="str">
        <f t="shared" si="53"/>
        <v>OFF</v>
      </c>
      <c r="T74" s="36" t="str">
        <f t="shared" si="53"/>
        <v>OFF</v>
      </c>
      <c r="U74" s="36" t="str">
        <f t="shared" si="50"/>
        <v/>
      </c>
      <c r="V74" s="36" t="str">
        <f t="shared" si="50"/>
        <v/>
      </c>
      <c r="W74" s="36" t="str">
        <f t="shared" si="50"/>
        <v/>
      </c>
      <c r="X74" s="36" t="str">
        <f t="shared" si="50"/>
        <v/>
      </c>
      <c r="Y74" s="36" t="str">
        <f t="shared" si="50"/>
        <v/>
      </c>
      <c r="Z74" s="36" t="str">
        <f t="shared" si="50"/>
        <v/>
      </c>
      <c r="AA74" s="128">
        <v>46387</v>
      </c>
    </row>
    <row r="75" spans="1:27" ht="18" customHeight="1" x14ac:dyDescent="0.35">
      <c r="A75" s="127" t="s">
        <v>178</v>
      </c>
      <c r="B75" s="114" t="s">
        <v>32</v>
      </c>
      <c r="C75" s="114" t="s">
        <v>19</v>
      </c>
      <c r="D75" s="61" t="s">
        <v>42</v>
      </c>
      <c r="E75" s="62" t="s">
        <v>45</v>
      </c>
      <c r="F75" s="63" t="s">
        <v>105</v>
      </c>
      <c r="G75" s="64" t="s">
        <v>2</v>
      </c>
      <c r="H75" s="41"/>
      <c r="I75" s="35"/>
      <c r="J75" s="43"/>
      <c r="K75" s="36" t="str">
        <f t="shared" si="49"/>
        <v>Night</v>
      </c>
      <c r="L75" s="36" t="str">
        <f t="shared" si="51"/>
        <v>Day</v>
      </c>
      <c r="M75" s="36" t="str">
        <f t="shared" si="52"/>
        <v>OFF</v>
      </c>
      <c r="N75" s="36" t="str">
        <f t="shared" si="52"/>
        <v>OFF</v>
      </c>
      <c r="O75" s="36" t="str">
        <f>IF(OR($D75=O$2,$E75=O$2,$F75=O$2),"Day",IF($G75=O$2,"Night",IF(OR($H75=O$2,$I75=O$2),"FC3",IF($J75=O$2,"FC3 Night",""))))</f>
        <v>Day</v>
      </c>
      <c r="P75" s="36" t="str">
        <f t="shared" si="53"/>
        <v>OFF</v>
      </c>
      <c r="Q75" s="36" t="str">
        <f t="shared" si="53"/>
        <v>OFF</v>
      </c>
      <c r="R75" s="36" t="str">
        <f t="shared" si="53"/>
        <v>OFF</v>
      </c>
      <c r="S75" s="36" t="str">
        <f t="shared" si="53"/>
        <v>OFF</v>
      </c>
      <c r="T75" s="36" t="str">
        <f t="shared" si="53"/>
        <v>OFF</v>
      </c>
      <c r="U75" s="36" t="str">
        <f t="shared" si="50"/>
        <v/>
      </c>
      <c r="V75" s="36" t="str">
        <f t="shared" si="50"/>
        <v/>
      </c>
      <c r="W75" s="36" t="str">
        <f t="shared" si="50"/>
        <v/>
      </c>
      <c r="X75" s="36" t="str">
        <f t="shared" si="50"/>
        <v/>
      </c>
      <c r="Y75" s="36" t="str">
        <f t="shared" si="50"/>
        <v/>
      </c>
      <c r="Z75" s="36" t="str">
        <f t="shared" si="50"/>
        <v/>
      </c>
      <c r="AA75" s="128">
        <v>46388</v>
      </c>
    </row>
    <row r="76" spans="1:27" ht="18" customHeight="1" x14ac:dyDescent="0.35">
      <c r="A76" s="129" t="s">
        <v>179</v>
      </c>
      <c r="B76" s="115" t="s">
        <v>33</v>
      </c>
      <c r="C76" s="115" t="s">
        <v>19</v>
      </c>
      <c r="D76" s="61" t="s">
        <v>46</v>
      </c>
      <c r="E76" s="62" t="s">
        <v>45</v>
      </c>
      <c r="F76" s="62" t="s">
        <v>50</v>
      </c>
      <c r="G76" s="64" t="s">
        <v>49</v>
      </c>
      <c r="H76" s="42"/>
      <c r="I76" s="37"/>
      <c r="J76" s="44"/>
      <c r="K76" s="38" t="str">
        <f t="shared" si="49"/>
        <v/>
      </c>
      <c r="L76" s="38" t="str">
        <f>IF(OR($D76=L$2,$E76=L$2,$F76=L$2),"Day",IF($G76=L$2,"Night",IF(OR($H76=L$2,$I76=L$2),"FC3",IF($J76=L$2,"FC3 Night",IF(AND(COUNTA($D76:$G76)&lt;4,Summary!$T$12&lt;Summary!$T$5),"Yellow","")))))</f>
        <v/>
      </c>
      <c r="M76" s="38" t="str">
        <f t="shared" si="52"/>
        <v>OFF</v>
      </c>
      <c r="N76" s="38" t="str">
        <f t="shared" si="52"/>
        <v>OFF</v>
      </c>
      <c r="O76" s="38" t="str">
        <f>IF(OR($D76=O$2,$E76=O$2,$F76=O$2),"Day",IF($G76=O$2,"Night",IF(OR($H76=O$2,$I76=O$2),"FC3",IF($J76=O$2,"FC3 Night",""))))</f>
        <v>Day</v>
      </c>
      <c r="P76" s="38" t="str">
        <f>IF(OR($D76=P$2,$E76=P$2,$F76=P$2),"Day",IF($G76=P$2,"Night",IF(OR($H76=P$2,$I76=P$2),"FC3",IF($J76=P$2,"FC3 Night",""))))</f>
        <v>Day</v>
      </c>
      <c r="Q76" s="38" t="str">
        <f>IF(OR($D76=Q$2,$E76=Q$2,$F76=Q$2),"Day",IF($G76=Q$2,"Night",IF(OR($H76=Q$2,$I76=Q$2),"FC3",IF($J76=Q$2,"FC3 Night",IF(AND(COUNTA($D76:$G76)&lt;4,Summary!$Y$12&lt;Summary!$Y$5),"Yellow","")))))</f>
        <v/>
      </c>
      <c r="R76" s="38" t="str">
        <f>IF(OR($D76=R$2,$E76=R$2,$F76=R$2),"Day",IF($G76=R$2,"Night",IF(OR($H76=R$2,$I76=R$2),"FC3",IF($J76=R$2,"FC3 Night","OFF"))))</f>
        <v>OFF</v>
      </c>
      <c r="S76" s="38" t="str">
        <f>IF(OR($D76=S$2,$E76=S$2,$F76=S$2),"Day",IF($G76=S$2,"Night",IF(OR($H76=S$2,$I76=S$2),"FC3",IF($J76=S$2,"FC3 Night",""))))</f>
        <v>Night</v>
      </c>
      <c r="T76" s="38" t="str">
        <f>IF(OR($D76=T$2,$E76=T$2,$F76=T$2),"Day",IF($G76=T$2,"Night",IF(OR($H76=T$2,$I76=T$2),"FC3",IF($J76=T$2,"FC3 Night",""))))</f>
        <v>Day</v>
      </c>
      <c r="U76" s="38" t="str">
        <f t="shared" si="50"/>
        <v/>
      </c>
      <c r="V76" s="38" t="str">
        <f t="shared" si="50"/>
        <v/>
      </c>
      <c r="W76" s="38" t="str">
        <f t="shared" si="50"/>
        <v/>
      </c>
      <c r="X76" s="38" t="str">
        <f t="shared" si="50"/>
        <v/>
      </c>
      <c r="Y76" s="38" t="str">
        <f t="shared" si="50"/>
        <v/>
      </c>
      <c r="Z76" s="38" t="str">
        <f t="shared" si="50"/>
        <v/>
      </c>
      <c r="AA76" s="128">
        <v>46389</v>
      </c>
    </row>
    <row r="77" spans="1:27" ht="18" customHeight="1" x14ac:dyDescent="0.35">
      <c r="A77" s="129" t="s">
        <v>180</v>
      </c>
      <c r="B77" s="115" t="s">
        <v>27</v>
      </c>
      <c r="C77" s="115" t="s">
        <v>19</v>
      </c>
      <c r="D77" s="61" t="s">
        <v>50</v>
      </c>
      <c r="E77" s="62" t="s">
        <v>45</v>
      </c>
      <c r="F77" s="62" t="s">
        <v>46</v>
      </c>
      <c r="G77" s="64" t="s">
        <v>49</v>
      </c>
      <c r="H77" s="42"/>
      <c r="I77" s="37"/>
      <c r="J77" s="44"/>
      <c r="K77" s="38" t="str">
        <f t="shared" si="49"/>
        <v/>
      </c>
      <c r="L77" s="38" t="str">
        <f>IF(OR($D77=L$2,$E77=L$2,$F77=L$2),"Day",IF($G77=L$2,"Night",IF(OR($H77=L$2,$I77=L$2),"FC3",IF($J77=L$2,"FC3 Night",IF(AND(COUNTA($D77:$G77)&lt;4,Summary!$T$12&lt;Summary!$T$5),"Yellow","")))))</f>
        <v/>
      </c>
      <c r="M77" s="38" t="str">
        <f t="shared" si="52"/>
        <v>OFF</v>
      </c>
      <c r="N77" s="38" t="str">
        <f t="shared" si="52"/>
        <v>OFF</v>
      </c>
      <c r="O77" s="38" t="str">
        <f>IF(OR($D77=O$2,$E77=O$2,$F77=O$2),"Day",IF($G77=O$2,"Night",IF(OR($H77=O$2,$I77=O$2),"FC3",IF($J77=O$2,"FC3 Night",""))))</f>
        <v>Day</v>
      </c>
      <c r="P77" s="38" t="str">
        <f>IF(OR($D77=P$2,$E77=P$2,$F77=P$2),"Day",IF($G77=P$2,"Night",IF(OR($H77=P$2,$I77=P$2),"FC3",IF($J77=P$2,"FC3 Night",""))))</f>
        <v>Day</v>
      </c>
      <c r="Q77" s="38" t="str">
        <f>IF(OR($D77=Q$2,$E77=Q$2,$F77=Q$2),"Day",IF($G77=Q$2,"Night",IF(OR($H77=Q$2,$I77=Q$2),"FC3",IF($J77=Q$2,"FC3 Night",IF(AND(COUNTA($D77:$G77)&lt;4,Summary!$Y$12&lt;Summary!$Y$5),"Yellow","")))))</f>
        <v/>
      </c>
      <c r="R77" s="38" t="str">
        <f>IF(OR($D77=R$2,$E77=R$2,$F77=R$2),"Day",IF($G77=R$2,"Night",IF(OR($H77=R$2,$I77=R$2),"FC3",IF($J77=R$2,"FC3 Night","PTO"))))</f>
        <v>PTO</v>
      </c>
      <c r="S77" s="38" t="str">
        <f>IF(OR($D77=S$2,$E77=S$2,$F77=S$2),"Day",IF($G77=S$2,"Night",IF(OR($H77=S$2,$I77=S$2),"FC3",IF($J77=S$2,"FC3 Night",""))))</f>
        <v>Night</v>
      </c>
      <c r="T77" s="38" t="str">
        <f>IF(OR($D77=T$2,$E77=T$2,$F77=T$2),"Day",IF($G77=T$2,"Night",IF(OR($H77=T$2,$I77=T$2),"FC3",IF($J77=T$2,"FC3 Night",""))))</f>
        <v>Day</v>
      </c>
      <c r="U77" s="38" t="str">
        <f t="shared" si="50"/>
        <v/>
      </c>
      <c r="V77" s="38" t="str">
        <f t="shared" si="50"/>
        <v/>
      </c>
      <c r="W77" s="38" t="str">
        <f t="shared" si="50"/>
        <v/>
      </c>
      <c r="X77" s="38" t="str">
        <f t="shared" si="50"/>
        <v/>
      </c>
      <c r="Y77" s="38" t="str">
        <f t="shared" si="50"/>
        <v/>
      </c>
      <c r="Z77" s="38" t="str">
        <f t="shared" si="50"/>
        <v/>
      </c>
      <c r="AA77" s="128">
        <v>46390</v>
      </c>
    </row>
    <row r="78" spans="1:27" ht="16" customHeight="1" x14ac:dyDescent="0.35">
      <c r="A78" s="130" t="s">
        <v>181</v>
      </c>
      <c r="B78" s="59"/>
      <c r="C78" s="59"/>
      <c r="D78" s="60"/>
      <c r="E78" s="34"/>
      <c r="F78" s="34"/>
      <c r="G78" s="40"/>
      <c r="H78" s="39"/>
      <c r="I78" s="34"/>
      <c r="J78" s="40"/>
      <c r="K78" s="33" t="s">
        <v>100</v>
      </c>
      <c r="L78" s="33" t="s">
        <v>100</v>
      </c>
      <c r="M78" s="33" t="s">
        <v>100</v>
      </c>
      <c r="N78" s="33" t="s">
        <v>100</v>
      </c>
      <c r="O78" s="33" t="s">
        <v>100</v>
      </c>
      <c r="P78" s="33" t="s">
        <v>100</v>
      </c>
      <c r="Q78" s="33" t="s">
        <v>100</v>
      </c>
      <c r="R78" s="33" t="s">
        <v>100</v>
      </c>
      <c r="S78" s="33" t="s">
        <v>100</v>
      </c>
      <c r="T78" s="33" t="s">
        <v>100</v>
      </c>
      <c r="U78" s="33" t="s">
        <v>103</v>
      </c>
      <c r="V78" s="33" t="s">
        <v>103</v>
      </c>
      <c r="W78" s="33" t="s">
        <v>103</v>
      </c>
      <c r="X78" s="33" t="s">
        <v>103</v>
      </c>
      <c r="Y78" s="33" t="s">
        <v>103</v>
      </c>
      <c r="Z78" s="33" t="s">
        <v>103</v>
      </c>
      <c r="AA78" s="131"/>
    </row>
    <row r="79" spans="1:27" ht="18" customHeight="1" x14ac:dyDescent="0.35">
      <c r="A79" s="127" t="s">
        <v>182</v>
      </c>
      <c r="B79" s="114" t="s">
        <v>28</v>
      </c>
      <c r="C79" s="114" t="s">
        <v>21</v>
      </c>
      <c r="D79" s="61" t="s">
        <v>50</v>
      </c>
      <c r="E79" s="62" t="s">
        <v>2</v>
      </c>
      <c r="F79" s="62" t="s">
        <v>42</v>
      </c>
      <c r="G79" s="64" t="s">
        <v>49</v>
      </c>
      <c r="H79" s="41"/>
      <c r="I79" s="35"/>
      <c r="J79" s="43"/>
      <c r="K79" s="36" t="str">
        <f t="shared" ref="K79:L92" si="54">IF(OR($D79=K$2,$E79=K$2,$F79=K$2),"Day",IF($G79=K$2,"Night",IF(OR($H79=K$2,$I79=K$2),"FC3",IF($J79=K$2,"FC3 Night",""))))</f>
        <v>Day</v>
      </c>
      <c r="L79" s="36" t="str">
        <f t="shared" si="54"/>
        <v>Day</v>
      </c>
      <c r="M79" s="36" t="str">
        <f>IF(OR($D79=M$2,$E79=M$2,$F79=M$2),"Day",IF($G79=M$2,"Night",IF(OR($H79=M$2,$I79=M$2),"FC3",IF($J79=M$2,"FC3 Night",IF(AND(COUNTA($D79:$G79)&lt;4,Summary!$U$13&lt;Summary!$U$6),"Yellow","")))))</f>
        <v/>
      </c>
      <c r="N79" s="36" t="str">
        <f>IF(OR($D79=N$2,$E79=N$2,$F79=N$2),"Day",IF($G79=N$2,"Night",IF(OR($H79=N$2,$I79=N$2),"FC3",IF($J79=N$2,"FC3 Night","OFF"))))</f>
        <v>OFF</v>
      </c>
      <c r="O79" s="36" t="str">
        <f t="shared" ref="O79:Q90" si="55">IF(OR($D79=O$2,$E79=O$2,$F79=O$2),"Day",IF($G79=O$2,"Night",IF(OR($H79=O$2,$I79=O$2),"FC3",IF($J79=O$2,"FC3 Night",""))))</f>
        <v/>
      </c>
      <c r="P79" s="36" t="str">
        <f t="shared" si="55"/>
        <v/>
      </c>
      <c r="Q79" s="36" t="str">
        <f t="shared" si="55"/>
        <v/>
      </c>
      <c r="R79" s="36" t="str">
        <f>IF(OR($D79=R$2,$E79=R$2,$F79=R$2),"Day",IF($G79=R$2,"Night",IF(OR($H79=R$2,$I79=R$2),"FC3",IF($J79=R$2,"FC3 Night","OFF"))))</f>
        <v>OFF</v>
      </c>
      <c r="S79" s="36" t="str">
        <f t="shared" ref="S79:Z81" si="56">IF(OR($D79=S$2,$E79=S$2,$F79=S$2),"Day",IF($G79=S$2,"Night",IF(OR($H79=S$2,$I79=S$2),"FC3",IF($J79=S$2,"FC3 Night",""))))</f>
        <v>Night</v>
      </c>
      <c r="T79" s="36" t="str">
        <f t="shared" si="56"/>
        <v>Day</v>
      </c>
      <c r="U79" s="36" t="str">
        <f t="shared" si="56"/>
        <v/>
      </c>
      <c r="V79" s="36" t="str">
        <f t="shared" si="56"/>
        <v/>
      </c>
      <c r="W79" s="36" t="str">
        <f t="shared" si="56"/>
        <v/>
      </c>
      <c r="X79" s="36" t="str">
        <f t="shared" si="56"/>
        <v/>
      </c>
      <c r="Y79" s="36" t="str">
        <f t="shared" si="56"/>
        <v/>
      </c>
      <c r="Z79" s="36" t="str">
        <f t="shared" si="56"/>
        <v/>
      </c>
      <c r="AA79" s="128">
        <v>46391</v>
      </c>
    </row>
    <row r="80" spans="1:27" ht="18" customHeight="1" x14ac:dyDescent="0.35">
      <c r="A80" s="127" t="s">
        <v>183</v>
      </c>
      <c r="B80" s="114" t="s">
        <v>29</v>
      </c>
      <c r="C80" s="114" t="s">
        <v>21</v>
      </c>
      <c r="D80" s="61" t="s">
        <v>42</v>
      </c>
      <c r="E80" s="62" t="s">
        <v>2</v>
      </c>
      <c r="F80" s="62" t="s">
        <v>46</v>
      </c>
      <c r="G80" s="64" t="s">
        <v>47</v>
      </c>
      <c r="H80" s="41"/>
      <c r="I80" s="35"/>
      <c r="J80" s="43"/>
      <c r="K80" s="36" t="str">
        <f t="shared" si="54"/>
        <v>Day</v>
      </c>
      <c r="L80" s="36" t="str">
        <f t="shared" si="54"/>
        <v>Day</v>
      </c>
      <c r="M80" s="36" t="str">
        <f>IF(OR($D80=M$2,$E80=M$2,$F80=M$2),"Day",IF($G80=M$2,"Night",IF(OR($H80=M$2,$I80=M$2),"FC3",IF($J80=M$2,"FC3 Night",IF(AND(COUNTA($D80:$G80)&lt;4,Summary!$U$13&lt;Summary!$U$6),"Yellow","")))))</f>
        <v/>
      </c>
      <c r="N80" s="36" t="str">
        <f>IF(OR($D80=N$2,$E80=N$2,$F80=N$2),"Day",IF($G80=N$2,"Night",IF(OR($H80=N$2,$I80=N$2),"FC3",IF($J80=N$2,"FC3 Night","OFF"))))</f>
        <v>OFF</v>
      </c>
      <c r="O80" s="36" t="str">
        <f t="shared" si="55"/>
        <v/>
      </c>
      <c r="P80" s="36" t="str">
        <f t="shared" si="55"/>
        <v>Day</v>
      </c>
      <c r="Q80" s="36" t="str">
        <f t="shared" si="55"/>
        <v>Night</v>
      </c>
      <c r="R80" s="36" t="str">
        <f>IF(OR($D80=R$2,$E80=R$2,$F80=R$2),"Day",IF($G80=R$2,"Night",IF(OR($H80=R$2,$I80=R$2),"FC3",IF($J80=R$2,"FC3 Night","OFF"))))</f>
        <v>OFF</v>
      </c>
      <c r="S80" s="36" t="str">
        <f t="shared" si="56"/>
        <v/>
      </c>
      <c r="T80" s="36" t="str">
        <f t="shared" si="56"/>
        <v/>
      </c>
      <c r="U80" s="36" t="str">
        <f t="shared" si="56"/>
        <v/>
      </c>
      <c r="V80" s="36" t="str">
        <f t="shared" si="56"/>
        <v/>
      </c>
      <c r="W80" s="36" t="str">
        <f t="shared" si="56"/>
        <v/>
      </c>
      <c r="X80" s="36" t="str">
        <f t="shared" si="56"/>
        <v/>
      </c>
      <c r="Y80" s="36" t="str">
        <f t="shared" si="56"/>
        <v/>
      </c>
      <c r="Z80" s="36" t="str">
        <f t="shared" si="56"/>
        <v/>
      </c>
      <c r="AA80" s="128">
        <v>46392</v>
      </c>
    </row>
    <row r="81" spans="1:27" ht="18" customHeight="1" x14ac:dyDescent="0.35">
      <c r="A81" s="127" t="s">
        <v>184</v>
      </c>
      <c r="B81" s="114" t="s">
        <v>30</v>
      </c>
      <c r="C81" s="114" t="s">
        <v>21</v>
      </c>
      <c r="D81" s="61" t="s">
        <v>50</v>
      </c>
      <c r="E81" s="62" t="s">
        <v>46</v>
      </c>
      <c r="F81" s="62" t="s">
        <v>48</v>
      </c>
      <c r="G81" s="64" t="s">
        <v>47</v>
      </c>
      <c r="H81" s="41"/>
      <c r="I81" s="35"/>
      <c r="J81" s="43"/>
      <c r="K81" s="36" t="str">
        <f t="shared" si="54"/>
        <v/>
      </c>
      <c r="L81" s="36" t="str">
        <f t="shared" si="54"/>
        <v/>
      </c>
      <c r="M81" s="36" t="str">
        <f t="shared" ref="M81:M89" si="57">IF(OR($D81=M$2,$E81=M$2,$F81=M$2),"Day",IF($G81=M$2,"Night",IF(OR($H81=M$2,$I81=M$2),"FC3",IF($J81=M$2,"FC3 Night",""))))</f>
        <v/>
      </c>
      <c r="N81" s="36" t="str">
        <f>IF(OR($D81=N$2,$E81=N$2,$F81=N$2),"Day",IF($G81=N$2,"Night",IF(OR($H81=N$2,$I81=N$2),"FC3",IF($J81=N$2,"FC3 Night",IF(AND(COUNTA($D81:$G81)&lt;4,Summary!$V$13&lt;Summary!$V$6),"Yellow","")))))</f>
        <v/>
      </c>
      <c r="O81" s="36" t="str">
        <f t="shared" si="55"/>
        <v/>
      </c>
      <c r="P81" s="36" t="str">
        <f t="shared" si="55"/>
        <v>Day</v>
      </c>
      <c r="Q81" s="36" t="str">
        <f t="shared" si="55"/>
        <v>Night</v>
      </c>
      <c r="R81" s="36" t="str">
        <f t="shared" ref="R81:R90" si="58">IF(OR($D81=R$2,$E81=R$2,$F81=R$2),"Day",IF($G81=R$2,"Night",IF(OR($H81=R$2,$I81=R$2),"FC3",IF($J81=R$2,"FC3 Night",""))))</f>
        <v>Day</v>
      </c>
      <c r="S81" s="36" t="str">
        <f t="shared" si="56"/>
        <v/>
      </c>
      <c r="T81" s="36" t="str">
        <f t="shared" si="56"/>
        <v>Day</v>
      </c>
      <c r="U81" s="36" t="str">
        <f t="shared" si="56"/>
        <v/>
      </c>
      <c r="V81" s="36" t="str">
        <f t="shared" si="56"/>
        <v/>
      </c>
      <c r="W81" s="36" t="str">
        <f t="shared" si="56"/>
        <v/>
      </c>
      <c r="X81" s="36" t="str">
        <f t="shared" si="56"/>
        <v/>
      </c>
      <c r="Y81" s="36" t="str">
        <f t="shared" si="56"/>
        <v/>
      </c>
      <c r="Z81" s="36" t="str">
        <f t="shared" si="56"/>
        <v/>
      </c>
      <c r="AA81" s="128">
        <v>46393</v>
      </c>
    </row>
    <row r="82" spans="1:27" ht="18" customHeight="1" x14ac:dyDescent="0.35">
      <c r="A82" s="127" t="s">
        <v>185</v>
      </c>
      <c r="B82" s="114" t="s">
        <v>31</v>
      </c>
      <c r="C82" s="114" t="s">
        <v>21</v>
      </c>
      <c r="D82" s="61" t="s">
        <v>49</v>
      </c>
      <c r="E82" s="62" t="s">
        <v>48</v>
      </c>
      <c r="F82" s="62" t="s">
        <v>46</v>
      </c>
      <c r="G82" s="64" t="s">
        <v>47</v>
      </c>
      <c r="H82" s="41"/>
      <c r="I82" s="35"/>
      <c r="J82" s="43"/>
      <c r="K82" s="36" t="str">
        <f t="shared" si="54"/>
        <v/>
      </c>
      <c r="L82" s="36" t="str">
        <f t="shared" si="54"/>
        <v/>
      </c>
      <c r="M82" s="36" t="str">
        <f t="shared" si="57"/>
        <v/>
      </c>
      <c r="N82" s="36" t="str">
        <f t="shared" ref="N82:N92" si="59">IF(OR($D82=N$2,$E82=N$2,$F82=N$2),"Day",IF($G82=N$2,"Night",IF(OR($H82=N$2,$I82=N$2),"FC3",IF($J82=N$2,"FC3 Night",""))))</f>
        <v/>
      </c>
      <c r="O82" s="36" t="str">
        <f t="shared" si="55"/>
        <v/>
      </c>
      <c r="P82" s="36" t="str">
        <f t="shared" si="55"/>
        <v>Day</v>
      </c>
      <c r="Q82" s="36" t="str">
        <f t="shared" si="55"/>
        <v>Night</v>
      </c>
      <c r="R82" s="36" t="str">
        <f t="shared" si="58"/>
        <v>Day</v>
      </c>
      <c r="S82" s="36" t="str">
        <f t="shared" ref="S82:S92" si="60">IF(OR($D82=S$2,$E82=S$2,$F82=S$2),"Day",IF($G82=S$2,"Night",IF(OR($H82=S$2,$I82=S$2),"FC3",IF($J82=S$2,"FC3 Night",""))))</f>
        <v>Day</v>
      </c>
      <c r="T82" s="36" t="str">
        <f>IF(OR($D82=T$2,$E82=T$2,$F82=T$2),"Day",IF($G82=T$2,"Night",IF(OR($H82=T$2,$I82=T$2),"FC3",IF($J82=T$2,"FC3 Night",IF(AND(COUNTA($D82:$G82)&lt;4,Summary!$AB$13&lt;Summary!$AB$6),"Yellow","")))))</f>
        <v/>
      </c>
      <c r="U82" s="36" t="str">
        <f t="shared" ref="U82:Z92" si="61">IF(OR($D82=U$2,$E82=U$2,$F82=U$2),"Day",IF($G82=U$2,"Night",IF(OR($H82=U$2,$I82=U$2),"FC3",IF($J82=U$2,"FC3 Night",""))))</f>
        <v/>
      </c>
      <c r="V82" s="36" t="str">
        <f t="shared" si="61"/>
        <v/>
      </c>
      <c r="W82" s="36" t="str">
        <f t="shared" si="61"/>
        <v/>
      </c>
      <c r="X82" s="36" t="str">
        <f t="shared" si="61"/>
        <v/>
      </c>
      <c r="Y82" s="36" t="str">
        <f t="shared" si="61"/>
        <v/>
      </c>
      <c r="Z82" s="36" t="str">
        <f t="shared" si="61"/>
        <v/>
      </c>
      <c r="AA82" s="128">
        <v>46394</v>
      </c>
    </row>
    <row r="83" spans="1:27" ht="18" customHeight="1" x14ac:dyDescent="0.35">
      <c r="A83" s="127" t="s">
        <v>186</v>
      </c>
      <c r="B83" s="114" t="s">
        <v>32</v>
      </c>
      <c r="C83" s="114" t="s">
        <v>21</v>
      </c>
      <c r="D83" s="61" t="s">
        <v>50</v>
      </c>
      <c r="E83" s="62" t="s">
        <v>44</v>
      </c>
      <c r="F83" s="62" t="s">
        <v>2</v>
      </c>
      <c r="G83" s="64" t="s">
        <v>45</v>
      </c>
      <c r="H83" s="41"/>
      <c r="I83" s="35"/>
      <c r="J83" s="43"/>
      <c r="K83" s="36" t="str">
        <f t="shared" si="54"/>
        <v>Day</v>
      </c>
      <c r="L83" s="36" t="str">
        <f t="shared" si="54"/>
        <v/>
      </c>
      <c r="M83" s="36" t="str">
        <f t="shared" si="57"/>
        <v/>
      </c>
      <c r="N83" s="36" t="str">
        <f t="shared" si="59"/>
        <v>Day</v>
      </c>
      <c r="O83" s="36" t="str">
        <f t="shared" si="55"/>
        <v>Night</v>
      </c>
      <c r="P83" s="36" t="str">
        <f t="shared" si="55"/>
        <v/>
      </c>
      <c r="Q83" s="36" t="str">
        <f t="shared" si="55"/>
        <v/>
      </c>
      <c r="R83" s="36" t="str">
        <f t="shared" si="58"/>
        <v/>
      </c>
      <c r="S83" s="36" t="str">
        <f t="shared" si="60"/>
        <v/>
      </c>
      <c r="T83" s="36" t="str">
        <f t="shared" ref="T83:T88" si="62">IF(OR($D83=T$2,$E83=T$2,$F83=T$2),"Day",IF($G83=T$2,"Night",IF(OR($H83=T$2,$I83=T$2),"FC3",IF($J83=T$2,"FC3 Night",""))))</f>
        <v>Day</v>
      </c>
      <c r="U83" s="36" t="str">
        <f t="shared" si="61"/>
        <v/>
      </c>
      <c r="V83" s="36" t="str">
        <f t="shared" si="61"/>
        <v/>
      </c>
      <c r="W83" s="36" t="str">
        <f t="shared" si="61"/>
        <v/>
      </c>
      <c r="X83" s="36" t="str">
        <f t="shared" si="61"/>
        <v/>
      </c>
      <c r="Y83" s="36" t="str">
        <f t="shared" si="61"/>
        <v/>
      </c>
      <c r="Z83" s="36" t="str">
        <f t="shared" si="61"/>
        <v/>
      </c>
      <c r="AA83" s="128">
        <v>46395</v>
      </c>
    </row>
    <row r="84" spans="1:27" ht="18" customHeight="1" x14ac:dyDescent="0.35">
      <c r="A84" s="129" t="s">
        <v>187</v>
      </c>
      <c r="B84" s="115" t="s">
        <v>33</v>
      </c>
      <c r="C84" s="115" t="s">
        <v>21</v>
      </c>
      <c r="D84" s="61" t="s">
        <v>49</v>
      </c>
      <c r="E84" s="62" t="s">
        <v>43</v>
      </c>
      <c r="F84" s="62" t="s">
        <v>44</v>
      </c>
      <c r="G84" s="64" t="s">
        <v>45</v>
      </c>
      <c r="H84" s="42"/>
      <c r="I84" s="37"/>
      <c r="J84" s="44"/>
      <c r="K84" s="38" t="str">
        <f t="shared" si="54"/>
        <v/>
      </c>
      <c r="L84" s="38" t="str">
        <f t="shared" si="54"/>
        <v/>
      </c>
      <c r="M84" s="38" t="str">
        <f t="shared" si="57"/>
        <v>Day</v>
      </c>
      <c r="N84" s="38" t="str">
        <f t="shared" si="59"/>
        <v>Day</v>
      </c>
      <c r="O84" s="38" t="str">
        <f t="shared" si="55"/>
        <v>Night</v>
      </c>
      <c r="P84" s="38" t="str">
        <f t="shared" si="55"/>
        <v/>
      </c>
      <c r="Q84" s="38" t="str">
        <f t="shared" si="55"/>
        <v/>
      </c>
      <c r="R84" s="38" t="str">
        <f t="shared" si="58"/>
        <v/>
      </c>
      <c r="S84" s="38" t="str">
        <f t="shared" si="60"/>
        <v>Day</v>
      </c>
      <c r="T84" s="38" t="str">
        <f t="shared" si="62"/>
        <v/>
      </c>
      <c r="U84" s="38" t="str">
        <f t="shared" si="61"/>
        <v/>
      </c>
      <c r="V84" s="38" t="str">
        <f t="shared" si="61"/>
        <v/>
      </c>
      <c r="W84" s="38" t="str">
        <f t="shared" si="61"/>
        <v/>
      </c>
      <c r="X84" s="38" t="str">
        <f t="shared" si="61"/>
        <v/>
      </c>
      <c r="Y84" s="38" t="str">
        <f t="shared" si="61"/>
        <v/>
      </c>
      <c r="Z84" s="38" t="str">
        <f t="shared" si="61"/>
        <v/>
      </c>
      <c r="AA84" s="128">
        <v>46396</v>
      </c>
    </row>
    <row r="85" spans="1:27" ht="18" customHeight="1" x14ac:dyDescent="0.35">
      <c r="A85" s="129" t="s">
        <v>188</v>
      </c>
      <c r="B85" s="115" t="s">
        <v>27</v>
      </c>
      <c r="C85" s="115" t="s">
        <v>21</v>
      </c>
      <c r="D85" s="61" t="s">
        <v>43</v>
      </c>
      <c r="E85" s="62" t="s">
        <v>49</v>
      </c>
      <c r="F85" s="62" t="s">
        <v>44</v>
      </c>
      <c r="G85" s="64" t="s">
        <v>45</v>
      </c>
      <c r="H85" s="42"/>
      <c r="I85" s="37"/>
      <c r="J85" s="44"/>
      <c r="K85" s="38" t="str">
        <f t="shared" si="54"/>
        <v/>
      </c>
      <c r="L85" s="38" t="str">
        <f t="shared" si="54"/>
        <v/>
      </c>
      <c r="M85" s="38" t="str">
        <f t="shared" si="57"/>
        <v>Day</v>
      </c>
      <c r="N85" s="38" t="str">
        <f t="shared" si="59"/>
        <v>Day</v>
      </c>
      <c r="O85" s="38" t="str">
        <f t="shared" si="55"/>
        <v>Night</v>
      </c>
      <c r="P85" s="38" t="str">
        <f t="shared" si="55"/>
        <v/>
      </c>
      <c r="Q85" s="38" t="str">
        <f t="shared" si="55"/>
        <v/>
      </c>
      <c r="R85" s="38" t="str">
        <f t="shared" si="58"/>
        <v/>
      </c>
      <c r="S85" s="38" t="str">
        <f t="shared" si="60"/>
        <v>Day</v>
      </c>
      <c r="T85" s="38" t="str">
        <f t="shared" si="62"/>
        <v/>
      </c>
      <c r="U85" s="38" t="str">
        <f t="shared" si="61"/>
        <v/>
      </c>
      <c r="V85" s="38" t="str">
        <f t="shared" si="61"/>
        <v/>
      </c>
      <c r="W85" s="38" t="str">
        <f t="shared" si="61"/>
        <v/>
      </c>
      <c r="X85" s="38" t="str">
        <f t="shared" si="61"/>
        <v/>
      </c>
      <c r="Y85" s="38" t="str">
        <f t="shared" si="61"/>
        <v/>
      </c>
      <c r="Z85" s="38" t="str">
        <f t="shared" si="61"/>
        <v/>
      </c>
      <c r="AA85" s="128">
        <v>46397</v>
      </c>
    </row>
    <row r="86" spans="1:27" ht="18" customHeight="1" x14ac:dyDescent="0.35">
      <c r="A86" s="127" t="s">
        <v>189</v>
      </c>
      <c r="B86" s="114" t="s">
        <v>28</v>
      </c>
      <c r="C86" s="114" t="s">
        <v>21</v>
      </c>
      <c r="D86" s="61" t="s">
        <v>49</v>
      </c>
      <c r="E86" s="62" t="s">
        <v>46</v>
      </c>
      <c r="F86" s="62" t="s">
        <v>48</v>
      </c>
      <c r="G86" s="64" t="s">
        <v>42</v>
      </c>
      <c r="H86" s="41"/>
      <c r="I86" s="35"/>
      <c r="J86" s="43"/>
      <c r="K86" s="36" t="str">
        <f t="shared" si="54"/>
        <v/>
      </c>
      <c r="L86" s="36" t="str">
        <f t="shared" si="54"/>
        <v>Night</v>
      </c>
      <c r="M86" s="36" t="str">
        <f t="shared" si="57"/>
        <v/>
      </c>
      <c r="N86" s="36" t="str">
        <f t="shared" si="59"/>
        <v/>
      </c>
      <c r="O86" s="36" t="str">
        <f t="shared" si="55"/>
        <v/>
      </c>
      <c r="P86" s="36" t="str">
        <f t="shared" si="55"/>
        <v>Day</v>
      </c>
      <c r="Q86" s="36" t="str">
        <f t="shared" si="55"/>
        <v/>
      </c>
      <c r="R86" s="36" t="str">
        <f t="shared" si="58"/>
        <v>Day</v>
      </c>
      <c r="S86" s="36" t="str">
        <f t="shared" si="60"/>
        <v>Day</v>
      </c>
      <c r="T86" s="36" t="str">
        <f t="shared" si="62"/>
        <v/>
      </c>
      <c r="U86" s="36" t="str">
        <f t="shared" si="61"/>
        <v/>
      </c>
      <c r="V86" s="36" t="str">
        <f t="shared" si="61"/>
        <v/>
      </c>
      <c r="W86" s="36" t="str">
        <f t="shared" si="61"/>
        <v/>
      </c>
      <c r="X86" s="36" t="str">
        <f t="shared" si="61"/>
        <v/>
      </c>
      <c r="Y86" s="36" t="str">
        <f t="shared" si="61"/>
        <v/>
      </c>
      <c r="Z86" s="36" t="str">
        <f t="shared" si="61"/>
        <v/>
      </c>
      <c r="AA86" s="128">
        <v>46398</v>
      </c>
    </row>
    <row r="87" spans="1:27" ht="18" customHeight="1" x14ac:dyDescent="0.35">
      <c r="A87" s="127" t="s">
        <v>190</v>
      </c>
      <c r="B87" s="114" t="s">
        <v>29</v>
      </c>
      <c r="C87" s="114" t="s">
        <v>21</v>
      </c>
      <c r="D87" s="61" t="s">
        <v>49</v>
      </c>
      <c r="E87" s="62" t="s">
        <v>48</v>
      </c>
      <c r="F87" s="62" t="s">
        <v>46</v>
      </c>
      <c r="G87" s="64" t="s">
        <v>42</v>
      </c>
      <c r="H87" s="41"/>
      <c r="I87" s="35"/>
      <c r="J87" s="43"/>
      <c r="K87" s="36" t="str">
        <f t="shared" si="54"/>
        <v/>
      </c>
      <c r="L87" s="36" t="str">
        <f t="shared" si="54"/>
        <v>Night</v>
      </c>
      <c r="M87" s="36" t="str">
        <f t="shared" si="57"/>
        <v/>
      </c>
      <c r="N87" s="36" t="str">
        <f t="shared" si="59"/>
        <v/>
      </c>
      <c r="O87" s="36" t="str">
        <f t="shared" si="55"/>
        <v/>
      </c>
      <c r="P87" s="36" t="str">
        <f t="shared" si="55"/>
        <v>Day</v>
      </c>
      <c r="Q87" s="36" t="str">
        <f t="shared" si="55"/>
        <v/>
      </c>
      <c r="R87" s="36" t="str">
        <f t="shared" si="58"/>
        <v>Day</v>
      </c>
      <c r="S87" s="36" t="str">
        <f t="shared" si="60"/>
        <v>Day</v>
      </c>
      <c r="T87" s="36" t="str">
        <f t="shared" si="62"/>
        <v/>
      </c>
      <c r="U87" s="36" t="str">
        <f t="shared" si="61"/>
        <v/>
      </c>
      <c r="V87" s="36" t="str">
        <f t="shared" si="61"/>
        <v/>
      </c>
      <c r="W87" s="36" t="str">
        <f t="shared" si="61"/>
        <v/>
      </c>
      <c r="X87" s="36" t="str">
        <f t="shared" si="61"/>
        <v/>
      </c>
      <c r="Y87" s="36" t="str">
        <f t="shared" si="61"/>
        <v/>
      </c>
      <c r="Z87" s="36" t="str">
        <f t="shared" si="61"/>
        <v/>
      </c>
      <c r="AA87" s="128">
        <v>46399</v>
      </c>
    </row>
    <row r="88" spans="1:27" ht="18" customHeight="1" x14ac:dyDescent="0.35">
      <c r="A88" s="127" t="s">
        <v>191</v>
      </c>
      <c r="B88" s="114" t="s">
        <v>30</v>
      </c>
      <c r="C88" s="114" t="s">
        <v>21</v>
      </c>
      <c r="D88" s="61" t="s">
        <v>2</v>
      </c>
      <c r="E88" s="62" t="s">
        <v>46</v>
      </c>
      <c r="F88" s="62" t="s">
        <v>48</v>
      </c>
      <c r="G88" s="64" t="s">
        <v>44</v>
      </c>
      <c r="H88" s="41"/>
      <c r="I88" s="35"/>
      <c r="J88" s="43"/>
      <c r="K88" s="36" t="str">
        <f t="shared" si="54"/>
        <v>Day</v>
      </c>
      <c r="L88" s="36" t="str">
        <f t="shared" si="54"/>
        <v/>
      </c>
      <c r="M88" s="36" t="str">
        <f t="shared" si="57"/>
        <v/>
      </c>
      <c r="N88" s="36" t="str">
        <f t="shared" si="59"/>
        <v>Night</v>
      </c>
      <c r="O88" s="36" t="str">
        <f t="shared" si="55"/>
        <v/>
      </c>
      <c r="P88" s="36" t="str">
        <f t="shared" si="55"/>
        <v>Day</v>
      </c>
      <c r="Q88" s="36" t="str">
        <f t="shared" si="55"/>
        <v/>
      </c>
      <c r="R88" s="36" t="str">
        <f t="shared" si="58"/>
        <v>Day</v>
      </c>
      <c r="S88" s="36" t="str">
        <f t="shared" si="60"/>
        <v/>
      </c>
      <c r="T88" s="36" t="str">
        <f t="shared" si="62"/>
        <v/>
      </c>
      <c r="U88" s="36" t="str">
        <f t="shared" si="61"/>
        <v/>
      </c>
      <c r="V88" s="36" t="str">
        <f t="shared" si="61"/>
        <v/>
      </c>
      <c r="W88" s="36" t="str">
        <f t="shared" si="61"/>
        <v/>
      </c>
      <c r="X88" s="36" t="str">
        <f t="shared" si="61"/>
        <v/>
      </c>
      <c r="Y88" s="36" t="str">
        <f t="shared" si="61"/>
        <v/>
      </c>
      <c r="Z88" s="36" t="str">
        <f t="shared" si="61"/>
        <v/>
      </c>
      <c r="AA88" s="128">
        <v>46400</v>
      </c>
    </row>
    <row r="89" spans="1:27" ht="18" customHeight="1" x14ac:dyDescent="0.35">
      <c r="A89" s="127" t="s">
        <v>192</v>
      </c>
      <c r="B89" s="114" t="s">
        <v>31</v>
      </c>
      <c r="C89" s="114" t="s">
        <v>21</v>
      </c>
      <c r="D89" s="61" t="s">
        <v>45</v>
      </c>
      <c r="E89" s="62" t="s">
        <v>50</v>
      </c>
      <c r="F89" s="62" t="s">
        <v>48</v>
      </c>
      <c r="G89" s="64" t="s">
        <v>44</v>
      </c>
      <c r="H89" s="41"/>
      <c r="I89" s="35"/>
      <c r="J89" s="43"/>
      <c r="K89" s="36" t="str">
        <f t="shared" si="54"/>
        <v/>
      </c>
      <c r="L89" s="36" t="str">
        <f t="shared" si="54"/>
        <v/>
      </c>
      <c r="M89" s="36" t="str">
        <f t="shared" si="57"/>
        <v/>
      </c>
      <c r="N89" s="36" t="str">
        <f t="shared" si="59"/>
        <v>Night</v>
      </c>
      <c r="O89" s="36" t="str">
        <f t="shared" si="55"/>
        <v>Day</v>
      </c>
      <c r="P89" s="36" t="str">
        <f t="shared" si="55"/>
        <v/>
      </c>
      <c r="Q89" s="36" t="str">
        <f t="shared" si="55"/>
        <v/>
      </c>
      <c r="R89" s="36" t="str">
        <f t="shared" si="58"/>
        <v>Day</v>
      </c>
      <c r="S89" s="36" t="str">
        <f t="shared" si="60"/>
        <v/>
      </c>
      <c r="T89" s="36" t="str">
        <f>IF(OR($D89=T$2,$E89=T$2,$F89=T$2),"Day",IF($G89=T$2,"Night",IF(OR($H89=T$2,$I89=T$2),"FC3",IF($J89=T$2,"FC3 Night",IF(AND(COUNTA($D89:$G89)&lt;4,Summary!$AB$13&lt;Summary!$AB$6),"Yellow","")))))</f>
        <v>Day</v>
      </c>
      <c r="U89" s="36" t="str">
        <f t="shared" si="61"/>
        <v/>
      </c>
      <c r="V89" s="36" t="str">
        <f t="shared" si="61"/>
        <v/>
      </c>
      <c r="W89" s="36" t="str">
        <f t="shared" si="61"/>
        <v/>
      </c>
      <c r="X89" s="36" t="str">
        <f t="shared" si="61"/>
        <v/>
      </c>
      <c r="Y89" s="36" t="str">
        <f t="shared" si="61"/>
        <v/>
      </c>
      <c r="Z89" s="36" t="str">
        <f t="shared" si="61"/>
        <v/>
      </c>
      <c r="AA89" s="128">
        <v>46401</v>
      </c>
    </row>
    <row r="90" spans="1:27" ht="18" customHeight="1" x14ac:dyDescent="0.35">
      <c r="A90" s="127" t="s">
        <v>193</v>
      </c>
      <c r="B90" s="114" t="s">
        <v>32</v>
      </c>
      <c r="C90" s="114" t="s">
        <v>21</v>
      </c>
      <c r="D90" s="61" t="s">
        <v>47</v>
      </c>
      <c r="E90" s="62" t="s">
        <v>2</v>
      </c>
      <c r="F90" s="62" t="s">
        <v>50</v>
      </c>
      <c r="G90" s="64" t="s">
        <v>44</v>
      </c>
      <c r="H90" s="41"/>
      <c r="I90" s="35"/>
      <c r="J90" s="43"/>
      <c r="K90" s="36" t="str">
        <f t="shared" si="54"/>
        <v>Day</v>
      </c>
      <c r="L90" s="36" t="str">
        <f t="shared" si="54"/>
        <v/>
      </c>
      <c r="M90" s="36" t="str">
        <f>IF(OR($D90=M$2,$E90=M$2,$F90=M$2),"Day",IF($G90=M$2,"Night",IF(OR($H90=M$2,$I90=M$2),"FC3",IF($J90=M$2,"FC3 Night","OFF"))))</f>
        <v>OFF</v>
      </c>
      <c r="N90" s="36" t="str">
        <f t="shared" si="59"/>
        <v>Night</v>
      </c>
      <c r="O90" s="36" t="str">
        <f t="shared" si="55"/>
        <v/>
      </c>
      <c r="P90" s="36" t="str">
        <f t="shared" si="55"/>
        <v/>
      </c>
      <c r="Q90" s="36" t="str">
        <f t="shared" si="55"/>
        <v>Day</v>
      </c>
      <c r="R90" s="36" t="str">
        <f t="shared" si="58"/>
        <v/>
      </c>
      <c r="S90" s="36" t="str">
        <f t="shared" si="60"/>
        <v/>
      </c>
      <c r="T90" s="36" t="str">
        <f>IF(OR($D90=T$2,$E90=T$2,$F90=T$2),"Day",IF($G90=T$2,"Night",IF(OR($H90=T$2,$I90=T$2),"FC3",IF($J90=T$2,"FC3 Night",""))))</f>
        <v>Day</v>
      </c>
      <c r="U90" s="36" t="str">
        <f t="shared" si="61"/>
        <v/>
      </c>
      <c r="V90" s="36" t="str">
        <f t="shared" si="61"/>
        <v/>
      </c>
      <c r="W90" s="36" t="str">
        <f t="shared" si="61"/>
        <v/>
      </c>
      <c r="X90" s="36" t="str">
        <f t="shared" si="61"/>
        <v/>
      </c>
      <c r="Y90" s="36" t="str">
        <f t="shared" si="61"/>
        <v/>
      </c>
      <c r="Z90" s="36" t="str">
        <f t="shared" si="61"/>
        <v/>
      </c>
      <c r="AA90" s="128">
        <v>46402</v>
      </c>
    </row>
    <row r="91" spans="1:27" ht="18" customHeight="1" x14ac:dyDescent="0.35">
      <c r="A91" s="129" t="s">
        <v>194</v>
      </c>
      <c r="B91" s="115" t="s">
        <v>33</v>
      </c>
      <c r="C91" s="115" t="s">
        <v>21</v>
      </c>
      <c r="D91" s="61" t="s">
        <v>42</v>
      </c>
      <c r="E91" s="62" t="s">
        <v>45</v>
      </c>
      <c r="F91" s="62" t="s">
        <v>47</v>
      </c>
      <c r="G91" s="64" t="s">
        <v>43</v>
      </c>
      <c r="H91" s="42"/>
      <c r="I91" s="37"/>
      <c r="J91" s="44"/>
      <c r="K91" s="38" t="str">
        <f t="shared" si="54"/>
        <v/>
      </c>
      <c r="L91" s="38" t="str">
        <f t="shared" si="54"/>
        <v>Day</v>
      </c>
      <c r="M91" s="38" t="str">
        <f>IF(OR($D91=M$2,$E91=M$2,$F91=M$2),"Day",IF($G91=M$2,"Night",IF(OR($H91=M$2,$I91=M$2),"FC3",IF($J91=M$2,"FC3 Night",""))))</f>
        <v>Night</v>
      </c>
      <c r="N91" s="38" t="str">
        <f t="shared" si="59"/>
        <v/>
      </c>
      <c r="O91" s="38" t="str">
        <f>IF(OR($D91=O$2,$E91=O$2,$F91=O$2),"Day",IF($G91=O$2,"Night",IF(OR($H91=O$2,$I91=O$2),"FC3",IF($J91=O$2,"FC3 Night","OFF"))))</f>
        <v>Day</v>
      </c>
      <c r="P91" s="38" t="str">
        <f>IF(OR($D91=P$2,$E91=P$2,$F91=P$2),"Day",IF($G91=P$2,"Night",IF(OR($H91=P$2,$I91=P$2),"FC3",IF($J91=P$2,"FC3 Night",""))))</f>
        <v/>
      </c>
      <c r="Q91" s="38" t="str">
        <f>IF(OR($D91=Q$2,$E91=Q$2,$F91=Q$2),"Day",IF($G91=Q$2,"Night",IF(OR($H91=Q$2,$I91=Q$2),"FC3",IF($J91=Q$2,"FC3 Night",""))))</f>
        <v>Day</v>
      </c>
      <c r="R91" s="38" t="str">
        <f>IF(OR($D91=R$2,$E91=R$2,$F91=R$2),"Day",IF($G91=R$2,"Night",IF(OR($H91=R$2,$I91=R$2),"FC3",IF($J91=R$2,"FC3 Night","OFF"))))</f>
        <v>OFF</v>
      </c>
      <c r="S91" s="38" t="str">
        <f t="shared" si="60"/>
        <v/>
      </c>
      <c r="T91" s="38" t="str">
        <f>IF(OR($D91=T$2,$E91=T$2,$F91=T$2),"Day",IF($G91=T$2,"Night",IF(OR($H91=T$2,$I91=T$2),"FC3",IF($J91=T$2,"FC3 Night",""))))</f>
        <v/>
      </c>
      <c r="U91" s="38" t="str">
        <f t="shared" si="61"/>
        <v/>
      </c>
      <c r="V91" s="38" t="str">
        <f t="shared" si="61"/>
        <v/>
      </c>
      <c r="W91" s="38" t="str">
        <f t="shared" si="61"/>
        <v/>
      </c>
      <c r="X91" s="38" t="str">
        <f t="shared" si="61"/>
        <v/>
      </c>
      <c r="Y91" s="38" t="str">
        <f t="shared" si="61"/>
        <v/>
      </c>
      <c r="Z91" s="38" t="str">
        <f t="shared" si="61"/>
        <v/>
      </c>
      <c r="AA91" s="128">
        <v>46403</v>
      </c>
    </row>
    <row r="92" spans="1:27" ht="18" customHeight="1" x14ac:dyDescent="0.35">
      <c r="A92" s="129" t="s">
        <v>195</v>
      </c>
      <c r="B92" s="115" t="s">
        <v>27</v>
      </c>
      <c r="C92" s="115" t="s">
        <v>21</v>
      </c>
      <c r="D92" s="61" t="s">
        <v>2</v>
      </c>
      <c r="E92" s="62" t="s">
        <v>47</v>
      </c>
      <c r="F92" s="62" t="s">
        <v>42</v>
      </c>
      <c r="G92" s="64" t="s">
        <v>43</v>
      </c>
      <c r="H92" s="42"/>
      <c r="I92" s="37"/>
      <c r="J92" s="44"/>
      <c r="K92" s="38" t="str">
        <f t="shared" si="54"/>
        <v>Day</v>
      </c>
      <c r="L92" s="38" t="str">
        <f t="shared" si="54"/>
        <v>Day</v>
      </c>
      <c r="M92" s="38" t="str">
        <f>IF(OR($D92=M$2,$E92=M$2,$F92=M$2),"Day",IF($G92=M$2,"Night",IF(OR($H92=M$2,$I92=M$2),"FC3",IF($J92=M$2,"FC3 Night",""))))</f>
        <v>Night</v>
      </c>
      <c r="N92" s="38" t="str">
        <f t="shared" si="59"/>
        <v/>
      </c>
      <c r="O92" s="38" t="str">
        <f>IF(OR($D92=O$2,$E92=O$2,$F92=O$2),"Day",IF($G92=O$2,"Night",IF(OR($H92=O$2,$I92=O$2),"FC3",IF($J92=O$2,"FC3 Night","OFF"))))</f>
        <v>OFF</v>
      </c>
      <c r="P92" s="38" t="str">
        <f>IF(OR($D92=P$2,$E92=P$2,$F92=P$2),"Day",IF($G92=P$2,"Night",IF(OR($H92=P$2,$I92=P$2),"FC3",IF($J92=P$2,"FC3 Night",""))))</f>
        <v/>
      </c>
      <c r="Q92" s="38" t="str">
        <f>IF(OR($D92=Q$2,$E92=Q$2,$F92=Q$2),"Day",IF($G92=Q$2,"Night",IF(OR($H92=Q$2,$I92=Q$2),"FC3",IF($J92=Q$2,"FC3 Night",""))))</f>
        <v>Day</v>
      </c>
      <c r="R92" s="38" t="str">
        <f>IF(OR($D92=R$2,$E92=R$2,$F92=R$2),"Day",IF($G92=R$2,"Night",IF(OR($H92=R$2,$I92=R$2),"FC3",IF($J92=R$2,"FC3 Night","OFF"))))</f>
        <v>OFF</v>
      </c>
      <c r="S92" s="38" t="str">
        <f t="shared" si="60"/>
        <v/>
      </c>
      <c r="T92" s="38" t="str">
        <f>IF(OR($D92=T$2,$E92=T$2,$F92=T$2),"Day",IF($G92=T$2,"Night",IF(OR($H92=T$2,$I92=T$2),"FC3",IF($J92=T$2,"FC3 Night",""))))</f>
        <v/>
      </c>
      <c r="U92" s="38" t="str">
        <f t="shared" si="61"/>
        <v/>
      </c>
      <c r="V92" s="38" t="str">
        <f t="shared" si="61"/>
        <v/>
      </c>
      <c r="W92" s="38" t="str">
        <f t="shared" si="61"/>
        <v/>
      </c>
      <c r="X92" s="38" t="str">
        <f t="shared" si="61"/>
        <v/>
      </c>
      <c r="Y92" s="38" t="str">
        <f t="shared" si="61"/>
        <v/>
      </c>
      <c r="Z92" s="38" t="str">
        <f t="shared" si="61"/>
        <v/>
      </c>
      <c r="AA92" s="128">
        <v>46404</v>
      </c>
    </row>
    <row r="93" spans="1:27" ht="16" customHeight="1" x14ac:dyDescent="0.35">
      <c r="A93" s="130" t="s">
        <v>196</v>
      </c>
      <c r="B93" s="59"/>
      <c r="C93" s="59"/>
      <c r="D93" s="60"/>
      <c r="E93" s="34"/>
      <c r="F93" s="34"/>
      <c r="G93" s="40"/>
      <c r="H93" s="39"/>
      <c r="I93" s="34"/>
      <c r="J93" s="40"/>
      <c r="K93" s="33" t="s">
        <v>100</v>
      </c>
      <c r="L93" s="33" t="s">
        <v>100</v>
      </c>
      <c r="M93" s="33" t="s">
        <v>100</v>
      </c>
      <c r="N93" s="33" t="s">
        <v>100</v>
      </c>
      <c r="O93" s="33" t="s">
        <v>100</v>
      </c>
      <c r="P93" s="33" t="s">
        <v>100</v>
      </c>
      <c r="Q93" s="33" t="s">
        <v>100</v>
      </c>
      <c r="R93" s="33" t="s">
        <v>197</v>
      </c>
      <c r="S93" s="33" t="s">
        <v>100</v>
      </c>
      <c r="T93" s="33" t="s">
        <v>100</v>
      </c>
      <c r="U93" s="33" t="s">
        <v>103</v>
      </c>
      <c r="V93" s="33" t="s">
        <v>103</v>
      </c>
      <c r="W93" s="33" t="s">
        <v>103</v>
      </c>
      <c r="X93" s="33" t="s">
        <v>103</v>
      </c>
      <c r="Y93" s="33" t="s">
        <v>103</v>
      </c>
      <c r="Z93" s="33" t="s">
        <v>103</v>
      </c>
      <c r="AA93" s="131"/>
    </row>
    <row r="94" spans="1:27" ht="18" customHeight="1" x14ac:dyDescent="0.35">
      <c r="A94" s="127" t="s">
        <v>198</v>
      </c>
      <c r="B94" s="114" t="s">
        <v>28</v>
      </c>
      <c r="C94" s="114" t="s">
        <v>23</v>
      </c>
      <c r="D94" s="61" t="s">
        <v>42</v>
      </c>
      <c r="E94" s="62" t="s">
        <v>49</v>
      </c>
      <c r="F94" s="62" t="s">
        <v>46</v>
      </c>
      <c r="G94" s="64" t="s">
        <v>43</v>
      </c>
      <c r="H94" s="41"/>
      <c r="I94" s="35"/>
      <c r="J94" s="43"/>
      <c r="K94" s="36" t="str">
        <f t="shared" ref="K94:N104" si="63">IF(OR($D94=K$2,$E94=K$2,$F94=K$2),"Day",IF($G94=K$2,"Night",IF(OR($H94=K$2,$I94=K$2),"FC3",IF($J94=K$2,"FC3 Night",""))))</f>
        <v/>
      </c>
      <c r="L94" s="36" t="str">
        <f t="shared" si="63"/>
        <v>Day</v>
      </c>
      <c r="M94" s="36" t="str">
        <f t="shared" si="63"/>
        <v>Night</v>
      </c>
      <c r="N94" s="36" t="str">
        <f t="shared" si="63"/>
        <v/>
      </c>
      <c r="O94" s="36" t="str">
        <f>IF(OR($D94=O$2,$E94=O$2,$F94=O$2),"Day",IF($G94=O$2,"Night",IF(OR($H94=O$2,$I94=O$2),"FC3",IF($J94=O$2,"FC3 Night","OFF"))))</f>
        <v>OFF</v>
      </c>
      <c r="P94" s="36" t="str">
        <f t="shared" ref="P94:Q103" si="64">IF(OR($D94=P$2,$E94=P$2,$F94=P$2),"Day",IF($G94=P$2,"Night",IF(OR($H94=P$2,$I94=P$2),"FC3",IF($J94=P$2,"FC3 Night",""))))</f>
        <v>Day</v>
      </c>
      <c r="Q94" s="36" t="str">
        <f t="shared" si="64"/>
        <v/>
      </c>
      <c r="R94" s="36" t="str">
        <f>IF(OR($D94=R$2,$E94=R$2,$F94=R$2),"Day",IF($G94=R$2,"Night",IF(OR($H94=R$2,$I94=R$2),"FC3",IF($J94=R$2,"FC3 Night","PTO"))))</f>
        <v>PTO</v>
      </c>
      <c r="S94" s="36" t="str">
        <f t="shared" ref="S94:Z96" si="65">IF(OR($D94=S$2,$E94=S$2,$F94=S$2),"Day",IF($G94=S$2,"Night",IF(OR($H94=S$2,$I94=S$2),"FC3",IF($J94=S$2,"FC3 Night",""))))</f>
        <v>Day</v>
      </c>
      <c r="T94" s="36" t="str">
        <f t="shared" si="65"/>
        <v/>
      </c>
      <c r="U94" s="36" t="str">
        <f t="shared" si="65"/>
        <v/>
      </c>
      <c r="V94" s="36" t="str">
        <f t="shared" si="65"/>
        <v/>
      </c>
      <c r="W94" s="36" t="str">
        <f t="shared" si="65"/>
        <v/>
      </c>
      <c r="X94" s="36" t="str">
        <f t="shared" si="65"/>
        <v/>
      </c>
      <c r="Y94" s="36" t="str">
        <f t="shared" si="65"/>
        <v/>
      </c>
      <c r="Z94" s="36" t="str">
        <f t="shared" si="65"/>
        <v/>
      </c>
      <c r="AA94" s="128">
        <v>46405</v>
      </c>
    </row>
    <row r="95" spans="1:27" ht="18" customHeight="1" x14ac:dyDescent="0.35">
      <c r="A95" s="127" t="s">
        <v>199</v>
      </c>
      <c r="B95" s="114" t="s">
        <v>29</v>
      </c>
      <c r="C95" s="114" t="s">
        <v>23</v>
      </c>
      <c r="D95" s="61" t="s">
        <v>45</v>
      </c>
      <c r="E95" s="62" t="s">
        <v>44</v>
      </c>
      <c r="F95" s="62" t="s">
        <v>47</v>
      </c>
      <c r="G95" s="64" t="s">
        <v>50</v>
      </c>
      <c r="H95" s="41"/>
      <c r="I95" s="35"/>
      <c r="J95" s="43"/>
      <c r="K95" s="36" t="str">
        <f t="shared" si="63"/>
        <v/>
      </c>
      <c r="L95" s="36" t="str">
        <f t="shared" si="63"/>
        <v/>
      </c>
      <c r="M95" s="36" t="str">
        <f t="shared" si="63"/>
        <v/>
      </c>
      <c r="N95" s="36" t="str">
        <f t="shared" si="63"/>
        <v>Day</v>
      </c>
      <c r="O95" s="36" t="str">
        <f t="shared" ref="O95:O107" si="66">IF(OR($D95=O$2,$E95=O$2,$F95=O$2),"Day",IF($G95=O$2,"Night",IF(OR($H95=O$2,$I95=O$2),"FC3",IF($J95=O$2,"FC3 Night",""))))</f>
        <v>Day</v>
      </c>
      <c r="P95" s="36" t="str">
        <f t="shared" si="64"/>
        <v/>
      </c>
      <c r="Q95" s="36" t="str">
        <f t="shared" si="64"/>
        <v>Day</v>
      </c>
      <c r="R95" s="36" t="str">
        <f>IF(OR($D95=R$2,$E95=R$2,$F95=R$2),"Day",IF($G95=R$2,"Night",IF(OR($H95=R$2,$I95=R$2),"FC3",IF($J95=R$2,"FC3 Night","PTO"))))</f>
        <v>PTO</v>
      </c>
      <c r="S95" s="36" t="str">
        <f t="shared" si="65"/>
        <v/>
      </c>
      <c r="T95" s="36" t="str">
        <f t="shared" si="65"/>
        <v>Night</v>
      </c>
      <c r="U95" s="36" t="str">
        <f t="shared" si="65"/>
        <v/>
      </c>
      <c r="V95" s="36" t="str">
        <f t="shared" si="65"/>
        <v/>
      </c>
      <c r="W95" s="36" t="str">
        <f t="shared" si="65"/>
        <v/>
      </c>
      <c r="X95" s="36" t="str">
        <f t="shared" si="65"/>
        <v/>
      </c>
      <c r="Y95" s="36" t="str">
        <f t="shared" si="65"/>
        <v/>
      </c>
      <c r="Z95" s="36" t="str">
        <f t="shared" si="65"/>
        <v/>
      </c>
      <c r="AA95" s="128">
        <v>46406</v>
      </c>
    </row>
    <row r="96" spans="1:27" ht="18" customHeight="1" x14ac:dyDescent="0.35">
      <c r="A96" s="127" t="s">
        <v>200</v>
      </c>
      <c r="B96" s="114" t="s">
        <v>30</v>
      </c>
      <c r="C96" s="114" t="s">
        <v>23</v>
      </c>
      <c r="D96" s="61" t="s">
        <v>44</v>
      </c>
      <c r="E96" s="62" t="s">
        <v>47</v>
      </c>
      <c r="F96" s="62" t="s">
        <v>45</v>
      </c>
      <c r="G96" s="64" t="s">
        <v>50</v>
      </c>
      <c r="H96" s="41"/>
      <c r="I96" s="35"/>
      <c r="J96" s="43"/>
      <c r="K96" s="36" t="str">
        <f t="shared" si="63"/>
        <v/>
      </c>
      <c r="L96" s="36" t="str">
        <f t="shared" si="63"/>
        <v/>
      </c>
      <c r="M96" s="36" t="str">
        <f t="shared" si="63"/>
        <v/>
      </c>
      <c r="N96" s="36" t="str">
        <f t="shared" si="63"/>
        <v>Day</v>
      </c>
      <c r="O96" s="36" t="str">
        <f t="shared" si="66"/>
        <v>Day</v>
      </c>
      <c r="P96" s="36" t="str">
        <f t="shared" si="64"/>
        <v/>
      </c>
      <c r="Q96" s="36" t="str">
        <f t="shared" si="64"/>
        <v>Day</v>
      </c>
      <c r="R96" s="36" t="str">
        <f>IF(OR($D96=R$2,$E96=R$2,$F96=R$2),"Day",IF($G96=R$2,"Night",IF(OR($H96=R$2,$I96=R$2),"FC3",IF($J96=R$2,"FC3 Night","PTO"))))</f>
        <v>PTO</v>
      </c>
      <c r="S96" s="36" t="str">
        <f t="shared" si="65"/>
        <v/>
      </c>
      <c r="T96" s="36" t="str">
        <f t="shared" si="65"/>
        <v>Night</v>
      </c>
      <c r="U96" s="36" t="str">
        <f t="shared" si="65"/>
        <v/>
      </c>
      <c r="V96" s="36" t="str">
        <f t="shared" si="65"/>
        <v/>
      </c>
      <c r="W96" s="36" t="str">
        <f t="shared" si="65"/>
        <v/>
      </c>
      <c r="X96" s="36" t="str">
        <f t="shared" si="65"/>
        <v/>
      </c>
      <c r="Y96" s="36" t="str">
        <f t="shared" si="65"/>
        <v/>
      </c>
      <c r="Z96" s="36" t="str">
        <f t="shared" si="65"/>
        <v/>
      </c>
      <c r="AA96" s="128">
        <v>46407</v>
      </c>
    </row>
    <row r="97" spans="1:27" ht="18" customHeight="1" x14ac:dyDescent="0.35">
      <c r="A97" s="127" t="s">
        <v>201</v>
      </c>
      <c r="B97" s="114" t="s">
        <v>31</v>
      </c>
      <c r="C97" s="114" t="s">
        <v>23</v>
      </c>
      <c r="D97" s="61" t="s">
        <v>44</v>
      </c>
      <c r="E97" s="62" t="s">
        <v>43</v>
      </c>
      <c r="F97" s="62" t="s">
        <v>42</v>
      </c>
      <c r="G97" s="64" t="s">
        <v>2</v>
      </c>
      <c r="H97" s="41"/>
      <c r="I97" s="35"/>
      <c r="J97" s="43"/>
      <c r="K97" s="36" t="str">
        <f t="shared" si="63"/>
        <v>Night</v>
      </c>
      <c r="L97" s="36" t="str">
        <f t="shared" si="63"/>
        <v>Day</v>
      </c>
      <c r="M97" s="36" t="str">
        <f t="shared" si="63"/>
        <v>Day</v>
      </c>
      <c r="N97" s="36" t="str">
        <f t="shared" si="63"/>
        <v>Day</v>
      </c>
      <c r="O97" s="36" t="str">
        <f t="shared" si="66"/>
        <v/>
      </c>
      <c r="P97" s="36" t="str">
        <f t="shared" si="64"/>
        <v/>
      </c>
      <c r="Q97" s="36" t="str">
        <f t="shared" si="64"/>
        <v/>
      </c>
      <c r="R97" s="36" t="str">
        <f>IF(OR($D97=R$2,$E97=R$2,$F97=R$2),"Day",IF($G97=R$2,"Night",IF(OR($H97=R$2,$I97=R$2),"FC3",IF($J97=R$2,"FC3 Night","OFF"))))</f>
        <v>OFF</v>
      </c>
      <c r="S97" s="36" t="str">
        <f t="shared" ref="S97:S107" si="67">IF(OR($D97=S$2,$E97=S$2,$F97=S$2),"Day",IF($G97=S$2,"Night",IF(OR($H97=S$2,$I97=S$2),"FC3",IF($J97=S$2,"FC3 Night",""))))</f>
        <v/>
      </c>
      <c r="T97" s="36" t="str">
        <f>IF(OR($D97=T$2,$E97=T$2,$F97=T$2),"Day",IF($G97=T$2,"Night",IF(OR($H97=T$2,$I97=T$2),"FC3",IF($J97=T$2,"FC3 Night",IF(AND(COUNTA($D97:$G97)&lt;4,Summary!$AB$14&lt;Summary!$AB$7),"Yellow","")))))</f>
        <v/>
      </c>
      <c r="U97" s="36" t="str">
        <f t="shared" ref="U97:Z107" si="68">IF(OR($D97=U$2,$E97=U$2,$F97=U$2),"Day",IF($G97=U$2,"Night",IF(OR($H97=U$2,$I97=U$2),"FC3",IF($J97=U$2,"FC3 Night",""))))</f>
        <v/>
      </c>
      <c r="V97" s="36" t="str">
        <f t="shared" si="68"/>
        <v/>
      </c>
      <c r="W97" s="36" t="str">
        <f t="shared" si="68"/>
        <v/>
      </c>
      <c r="X97" s="36" t="str">
        <f t="shared" si="68"/>
        <v/>
      </c>
      <c r="Y97" s="36" t="str">
        <f t="shared" si="68"/>
        <v/>
      </c>
      <c r="Z97" s="36" t="str">
        <f t="shared" si="68"/>
        <v/>
      </c>
      <c r="AA97" s="128">
        <v>46408</v>
      </c>
    </row>
    <row r="98" spans="1:27" ht="18" customHeight="1" x14ac:dyDescent="0.35">
      <c r="A98" s="127" t="s">
        <v>202</v>
      </c>
      <c r="B98" s="114" t="s">
        <v>32</v>
      </c>
      <c r="C98" s="114" t="s">
        <v>23</v>
      </c>
      <c r="D98" s="61" t="s">
        <v>45</v>
      </c>
      <c r="E98" s="62" t="s">
        <v>42</v>
      </c>
      <c r="F98" s="62" t="s">
        <v>43</v>
      </c>
      <c r="G98" s="64" t="s">
        <v>2</v>
      </c>
      <c r="H98" s="41"/>
      <c r="I98" s="35"/>
      <c r="J98" s="43"/>
      <c r="K98" s="36" t="str">
        <f t="shared" si="63"/>
        <v>Night</v>
      </c>
      <c r="L98" s="36" t="str">
        <f t="shared" si="63"/>
        <v>Day</v>
      </c>
      <c r="M98" s="36" t="str">
        <f t="shared" si="63"/>
        <v>Day</v>
      </c>
      <c r="N98" s="36" t="str">
        <f t="shared" si="63"/>
        <v/>
      </c>
      <c r="O98" s="36" t="str">
        <f t="shared" si="66"/>
        <v>Day</v>
      </c>
      <c r="P98" s="36" t="str">
        <f t="shared" si="64"/>
        <v/>
      </c>
      <c r="Q98" s="36" t="str">
        <f t="shared" si="64"/>
        <v/>
      </c>
      <c r="R98" s="36" t="str">
        <f>IF(OR($D98=R$2,$E98=R$2,$F98=R$2),"Day",IF($G98=R$2,"Night",IF(OR($H98=R$2,$I98=R$2),"FC3",IF($J98=R$2,"FC3 Night","OFF"))))</f>
        <v>OFF</v>
      </c>
      <c r="S98" s="36" t="str">
        <f t="shared" si="67"/>
        <v/>
      </c>
      <c r="T98" s="36" t="str">
        <f t="shared" ref="T98:T103" si="69">IF(OR($D98=T$2,$E98=T$2,$F98=T$2),"Day",IF($G98=T$2,"Night",IF(OR($H98=T$2,$I98=T$2),"FC3",IF($J98=T$2,"FC3 Night",""))))</f>
        <v/>
      </c>
      <c r="U98" s="36" t="str">
        <f t="shared" si="68"/>
        <v/>
      </c>
      <c r="V98" s="36" t="str">
        <f t="shared" si="68"/>
        <v/>
      </c>
      <c r="W98" s="36" t="str">
        <f t="shared" si="68"/>
        <v/>
      </c>
      <c r="X98" s="36" t="str">
        <f t="shared" si="68"/>
        <v/>
      </c>
      <c r="Y98" s="36" t="str">
        <f t="shared" si="68"/>
        <v/>
      </c>
      <c r="Z98" s="36" t="str">
        <f t="shared" si="68"/>
        <v/>
      </c>
      <c r="AA98" s="128">
        <v>46409</v>
      </c>
    </row>
    <row r="99" spans="1:27" ht="18" customHeight="1" x14ac:dyDescent="0.35">
      <c r="A99" s="129" t="s">
        <v>203</v>
      </c>
      <c r="B99" s="115" t="s">
        <v>33</v>
      </c>
      <c r="C99" s="115" t="s">
        <v>23</v>
      </c>
      <c r="D99" s="61" t="s">
        <v>49</v>
      </c>
      <c r="E99" s="62" t="s">
        <v>50</v>
      </c>
      <c r="F99" s="62" t="s">
        <v>47</v>
      </c>
      <c r="G99" s="64" t="s">
        <v>46</v>
      </c>
      <c r="H99" s="42"/>
      <c r="I99" s="37"/>
      <c r="J99" s="44"/>
      <c r="K99" s="38" t="str">
        <f t="shared" si="63"/>
        <v/>
      </c>
      <c r="L99" s="38" t="str">
        <f t="shared" si="63"/>
        <v/>
      </c>
      <c r="M99" s="38" t="str">
        <f t="shared" si="63"/>
        <v/>
      </c>
      <c r="N99" s="38" t="str">
        <f t="shared" si="63"/>
        <v/>
      </c>
      <c r="O99" s="38" t="str">
        <f t="shared" si="66"/>
        <v/>
      </c>
      <c r="P99" s="38" t="str">
        <f t="shared" si="64"/>
        <v>Night</v>
      </c>
      <c r="Q99" s="38" t="str">
        <f t="shared" si="64"/>
        <v>Day</v>
      </c>
      <c r="R99" s="38" t="str">
        <f>IF(OR($D99=R$2,$E99=R$2,$F99=R$2),"Day",IF($G99=R$2,"Night",IF(OR($H99=R$2,$I99=R$2),"FC3",IF($J99=R$2,"FC3 Night","OFF"))))</f>
        <v>OFF</v>
      </c>
      <c r="S99" s="38" t="str">
        <f t="shared" si="67"/>
        <v>Day</v>
      </c>
      <c r="T99" s="38" t="str">
        <f t="shared" si="69"/>
        <v>Day</v>
      </c>
      <c r="U99" s="38" t="str">
        <f t="shared" si="68"/>
        <v/>
      </c>
      <c r="V99" s="38" t="str">
        <f t="shared" si="68"/>
        <v/>
      </c>
      <c r="W99" s="38" t="str">
        <f t="shared" si="68"/>
        <v/>
      </c>
      <c r="X99" s="38" t="str">
        <f t="shared" si="68"/>
        <v/>
      </c>
      <c r="Y99" s="38" t="str">
        <f t="shared" si="68"/>
        <v/>
      </c>
      <c r="Z99" s="38" t="str">
        <f t="shared" si="68"/>
        <v/>
      </c>
      <c r="AA99" s="128">
        <v>46410</v>
      </c>
    </row>
    <row r="100" spans="1:27" ht="18" customHeight="1" x14ac:dyDescent="0.35">
      <c r="A100" s="129" t="s">
        <v>204</v>
      </c>
      <c r="B100" s="115" t="s">
        <v>27</v>
      </c>
      <c r="C100" s="115" t="s">
        <v>23</v>
      </c>
      <c r="D100" s="61" t="s">
        <v>50</v>
      </c>
      <c r="E100" s="62" t="s">
        <v>47</v>
      </c>
      <c r="F100" s="62" t="s">
        <v>49</v>
      </c>
      <c r="G100" s="64" t="s">
        <v>46</v>
      </c>
      <c r="H100" s="42"/>
      <c r="I100" s="37"/>
      <c r="J100" s="44"/>
      <c r="K100" s="38" t="str">
        <f t="shared" si="63"/>
        <v/>
      </c>
      <c r="L100" s="38" t="str">
        <f t="shared" si="63"/>
        <v/>
      </c>
      <c r="M100" s="38" t="str">
        <f t="shared" si="63"/>
        <v/>
      </c>
      <c r="N100" s="38" t="str">
        <f t="shared" si="63"/>
        <v/>
      </c>
      <c r="O100" s="38" t="str">
        <f t="shared" si="66"/>
        <v/>
      </c>
      <c r="P100" s="38" t="str">
        <f t="shared" si="64"/>
        <v>Night</v>
      </c>
      <c r="Q100" s="38" t="str">
        <f t="shared" si="64"/>
        <v>Day</v>
      </c>
      <c r="R100" s="38" t="str">
        <f>IF(OR($D100=R$2,$E100=R$2,$F100=R$2),"Day",IF($G100=R$2,"Night",IF(OR($H100=R$2,$I100=R$2),"FC3",IF($J100=R$2,"FC3 Night","OFF"))))</f>
        <v>OFF</v>
      </c>
      <c r="S100" s="38" t="str">
        <f t="shared" si="67"/>
        <v>Day</v>
      </c>
      <c r="T100" s="38" t="str">
        <f t="shared" si="69"/>
        <v>Day</v>
      </c>
      <c r="U100" s="38" t="str">
        <f t="shared" si="68"/>
        <v/>
      </c>
      <c r="V100" s="38" t="str">
        <f t="shared" si="68"/>
        <v/>
      </c>
      <c r="W100" s="38" t="str">
        <f t="shared" si="68"/>
        <v/>
      </c>
      <c r="X100" s="38" t="str">
        <f t="shared" si="68"/>
        <v/>
      </c>
      <c r="Y100" s="38" t="str">
        <f t="shared" si="68"/>
        <v/>
      </c>
      <c r="Z100" s="38" t="str">
        <f t="shared" si="68"/>
        <v/>
      </c>
      <c r="AA100" s="128">
        <v>46411</v>
      </c>
    </row>
    <row r="101" spans="1:27" ht="18" customHeight="1" x14ac:dyDescent="0.35">
      <c r="A101" s="127" t="s">
        <v>205</v>
      </c>
      <c r="B101" s="114" t="s">
        <v>28</v>
      </c>
      <c r="C101" s="114" t="s">
        <v>23</v>
      </c>
      <c r="D101" s="61" t="s">
        <v>47</v>
      </c>
      <c r="E101" s="62" t="s">
        <v>43</v>
      </c>
      <c r="F101" s="62" t="s">
        <v>50</v>
      </c>
      <c r="G101" s="64" t="s">
        <v>46</v>
      </c>
      <c r="H101" s="41"/>
      <c r="I101" s="35"/>
      <c r="J101" s="43"/>
      <c r="K101" s="36" t="str">
        <f t="shared" si="63"/>
        <v/>
      </c>
      <c r="L101" s="36" t="str">
        <f t="shared" si="63"/>
        <v/>
      </c>
      <c r="M101" s="36" t="str">
        <f t="shared" si="63"/>
        <v>Day</v>
      </c>
      <c r="N101" s="36" t="str">
        <f t="shared" si="63"/>
        <v/>
      </c>
      <c r="O101" s="36" t="str">
        <f t="shared" si="66"/>
        <v/>
      </c>
      <c r="P101" s="36" t="str">
        <f t="shared" si="64"/>
        <v>Night</v>
      </c>
      <c r="Q101" s="36" t="str">
        <f t="shared" si="64"/>
        <v>Day</v>
      </c>
      <c r="R101" s="36" t="str">
        <f>IF(OR($D101=R$2,$E101=R$2,$F101=R$2),"Day",IF($G101=R$2,"Night",IF(OR($H101=R$2,$I101=R$2),"FC3",IF($J101=R$2,"FC3 Night","OFF"))))</f>
        <v>OFF</v>
      </c>
      <c r="S101" s="36" t="str">
        <f t="shared" si="67"/>
        <v/>
      </c>
      <c r="T101" s="36" t="str">
        <f t="shared" si="69"/>
        <v>Day</v>
      </c>
      <c r="U101" s="36" t="str">
        <f t="shared" si="68"/>
        <v/>
      </c>
      <c r="V101" s="36" t="str">
        <f t="shared" si="68"/>
        <v/>
      </c>
      <c r="W101" s="36" t="str">
        <f t="shared" si="68"/>
        <v/>
      </c>
      <c r="X101" s="36" t="str">
        <f t="shared" si="68"/>
        <v/>
      </c>
      <c r="Y101" s="36" t="str">
        <f t="shared" si="68"/>
        <v/>
      </c>
      <c r="Z101" s="36" t="str">
        <f t="shared" si="68"/>
        <v/>
      </c>
      <c r="AA101" s="128">
        <v>46412</v>
      </c>
    </row>
    <row r="102" spans="1:27" ht="18" customHeight="1" x14ac:dyDescent="0.35">
      <c r="A102" s="127" t="s">
        <v>206</v>
      </c>
      <c r="B102" s="114" t="s">
        <v>29</v>
      </c>
      <c r="C102" s="114" t="s">
        <v>23</v>
      </c>
      <c r="D102" s="61" t="s">
        <v>2</v>
      </c>
      <c r="E102" s="62" t="s">
        <v>47</v>
      </c>
      <c r="F102" s="62" t="s">
        <v>45</v>
      </c>
      <c r="G102" s="64" t="s">
        <v>48</v>
      </c>
      <c r="H102" s="41"/>
      <c r="I102" s="35"/>
      <c r="J102" s="43"/>
      <c r="K102" s="36" t="str">
        <f t="shared" si="63"/>
        <v>Day</v>
      </c>
      <c r="L102" s="36" t="str">
        <f t="shared" si="63"/>
        <v/>
      </c>
      <c r="M102" s="36" t="str">
        <f t="shared" si="63"/>
        <v/>
      </c>
      <c r="N102" s="36" t="str">
        <f t="shared" si="63"/>
        <v/>
      </c>
      <c r="O102" s="36" t="str">
        <f t="shared" si="66"/>
        <v>Day</v>
      </c>
      <c r="P102" s="36" t="str">
        <f t="shared" si="64"/>
        <v/>
      </c>
      <c r="Q102" s="36" t="str">
        <f t="shared" si="64"/>
        <v>Day</v>
      </c>
      <c r="R102" s="36" t="str">
        <f t="shared" ref="R102:R107" si="70">IF(OR($D102=R$2,$E102=R$2,$F102=R$2),"Day",IF($G102=R$2,"Night",IF(OR($H102=R$2,$I102=R$2),"FC3",IF($J102=R$2,"FC3 Night",""))))</f>
        <v>Night</v>
      </c>
      <c r="S102" s="36" t="str">
        <f t="shared" si="67"/>
        <v/>
      </c>
      <c r="T102" s="36" t="str">
        <f t="shared" si="69"/>
        <v/>
      </c>
      <c r="U102" s="36" t="str">
        <f t="shared" si="68"/>
        <v/>
      </c>
      <c r="V102" s="36" t="str">
        <f t="shared" si="68"/>
        <v/>
      </c>
      <c r="W102" s="36" t="str">
        <f t="shared" si="68"/>
        <v/>
      </c>
      <c r="X102" s="36" t="str">
        <f t="shared" si="68"/>
        <v/>
      </c>
      <c r="Y102" s="36" t="str">
        <f t="shared" si="68"/>
        <v/>
      </c>
      <c r="Z102" s="36" t="str">
        <f t="shared" si="68"/>
        <v/>
      </c>
      <c r="AA102" s="128">
        <v>46413</v>
      </c>
    </row>
    <row r="103" spans="1:27" ht="18" customHeight="1" x14ac:dyDescent="0.35">
      <c r="A103" s="127" t="s">
        <v>207</v>
      </c>
      <c r="B103" s="114" t="s">
        <v>30</v>
      </c>
      <c r="C103" s="114" t="s">
        <v>23</v>
      </c>
      <c r="D103" s="61" t="s">
        <v>45</v>
      </c>
      <c r="E103" s="62" t="s">
        <v>43</v>
      </c>
      <c r="F103" s="62" t="s">
        <v>2</v>
      </c>
      <c r="G103" s="64" t="s">
        <v>48</v>
      </c>
      <c r="H103" s="41"/>
      <c r="I103" s="35"/>
      <c r="J103" s="43"/>
      <c r="K103" s="36" t="str">
        <f t="shared" si="63"/>
        <v>Day</v>
      </c>
      <c r="L103" s="36" t="str">
        <f t="shared" si="63"/>
        <v/>
      </c>
      <c r="M103" s="36" t="str">
        <f t="shared" si="63"/>
        <v>Day</v>
      </c>
      <c r="N103" s="36" t="str">
        <f t="shared" si="63"/>
        <v/>
      </c>
      <c r="O103" s="36" t="str">
        <f t="shared" si="66"/>
        <v>Day</v>
      </c>
      <c r="P103" s="36" t="str">
        <f t="shared" si="64"/>
        <v/>
      </c>
      <c r="Q103" s="36" t="str">
        <f t="shared" si="64"/>
        <v/>
      </c>
      <c r="R103" s="36" t="str">
        <f t="shared" si="70"/>
        <v>Night</v>
      </c>
      <c r="S103" s="36" t="str">
        <f t="shared" si="67"/>
        <v/>
      </c>
      <c r="T103" s="36" t="str">
        <f t="shared" si="69"/>
        <v/>
      </c>
      <c r="U103" s="36" t="str">
        <f t="shared" si="68"/>
        <v/>
      </c>
      <c r="V103" s="36" t="str">
        <f t="shared" si="68"/>
        <v/>
      </c>
      <c r="W103" s="36" t="str">
        <f t="shared" si="68"/>
        <v/>
      </c>
      <c r="X103" s="36" t="str">
        <f t="shared" si="68"/>
        <v/>
      </c>
      <c r="Y103" s="36" t="str">
        <f t="shared" si="68"/>
        <v/>
      </c>
      <c r="Z103" s="36" t="str">
        <f t="shared" si="68"/>
        <v/>
      </c>
      <c r="AA103" s="128">
        <v>46414</v>
      </c>
    </row>
    <row r="104" spans="1:27" ht="18" customHeight="1" x14ac:dyDescent="0.35">
      <c r="A104" s="127" t="s">
        <v>208</v>
      </c>
      <c r="B104" s="114" t="s">
        <v>31</v>
      </c>
      <c r="C104" s="114" t="s">
        <v>23</v>
      </c>
      <c r="D104" s="61" t="s">
        <v>45</v>
      </c>
      <c r="E104" s="62" t="s">
        <v>2</v>
      </c>
      <c r="F104" s="62" t="s">
        <v>43</v>
      </c>
      <c r="G104" s="64" t="s">
        <v>48</v>
      </c>
      <c r="H104" s="41"/>
      <c r="I104" s="35"/>
      <c r="J104" s="43"/>
      <c r="K104" s="36" t="str">
        <f t="shared" si="63"/>
        <v>Day</v>
      </c>
      <c r="L104" s="36" t="str">
        <f t="shared" si="63"/>
        <v/>
      </c>
      <c r="M104" s="36" t="str">
        <f t="shared" si="63"/>
        <v>Day</v>
      </c>
      <c r="N104" s="36" t="str">
        <f t="shared" si="63"/>
        <v/>
      </c>
      <c r="O104" s="36" t="str">
        <f t="shared" si="66"/>
        <v>Day</v>
      </c>
      <c r="P104" s="36" t="str">
        <f>IF(OR($D104=P$2,$E104=P$2,$F104=P$2),"Day",IF($G104=P$2,"Night",IF(OR($H104=P$2,$I104=P$2),"FC3",IF($J104=P$2,"FC3 Night",""))))</f>
        <v/>
      </c>
      <c r="Q104" s="36" t="str">
        <f>IF(OR($D104=Q$2,$E104=Q$2,$F104=Q$2),"Day",IF($G104=Q$2,"Night",IF(OR($H104=Q$2,$I104=Q$2),"FC3",IF($J104=Q$2,"FC3 Night",IF(AND(COUNTA($D104:$G104)&lt;4,Summary!$Y$14&lt;Summary!$Y$7),"Yellow","")))))</f>
        <v/>
      </c>
      <c r="R104" s="36" t="str">
        <f t="shared" si="70"/>
        <v>Night</v>
      </c>
      <c r="S104" s="36" t="str">
        <f t="shared" si="67"/>
        <v/>
      </c>
      <c r="T104" s="36" t="str">
        <f>IF(OR($D104=T$2,$E104=T$2,$F104=T$2),"Day",IF($G104=T$2,"Night",IF(OR($H104=T$2,$I104=T$2),"FC3",IF($J104=T$2,"FC3 Night",IF(AND(COUNTA($D104:$G104)&lt;4,Summary!$AB$14&lt;Summary!$AB$7),"Yellow","")))))</f>
        <v/>
      </c>
      <c r="U104" s="36" t="str">
        <f t="shared" si="68"/>
        <v/>
      </c>
      <c r="V104" s="36" t="str">
        <f t="shared" si="68"/>
        <v/>
      </c>
      <c r="W104" s="36" t="str">
        <f t="shared" si="68"/>
        <v/>
      </c>
      <c r="X104" s="36" t="str">
        <f t="shared" si="68"/>
        <v/>
      </c>
      <c r="Y104" s="36" t="str">
        <f t="shared" si="68"/>
        <v/>
      </c>
      <c r="Z104" s="36" t="str">
        <f t="shared" si="68"/>
        <v/>
      </c>
      <c r="AA104" s="128">
        <v>46415</v>
      </c>
    </row>
    <row r="105" spans="1:27" ht="18" customHeight="1" x14ac:dyDescent="0.35">
      <c r="A105" s="127" t="s">
        <v>209</v>
      </c>
      <c r="B105" s="114" t="s">
        <v>32</v>
      </c>
      <c r="C105" s="114" t="s">
        <v>23</v>
      </c>
      <c r="D105" s="61" t="s">
        <v>44</v>
      </c>
      <c r="E105" s="62" t="s">
        <v>42</v>
      </c>
      <c r="F105" s="62" t="s">
        <v>50</v>
      </c>
      <c r="G105" s="64" t="s">
        <v>49</v>
      </c>
      <c r="H105" s="41"/>
      <c r="I105" s="35"/>
      <c r="J105" s="43"/>
      <c r="K105" s="36" t="str">
        <f>IF(OR($D105=K$2,$E105=K$2,$F105=K$2),"Day",IF($G105=K$2,"Night",IF(OR($H105=K$2,$I105=K$2),"FC3",IF($J105=K$2,"FC3 Night","OFF"))))</f>
        <v>OFF</v>
      </c>
      <c r="L105" s="36" t="str">
        <f>IF(OR($D105=L$2,$E105=L$2,$F105=L$2),"Day",IF($G105=L$2,"Night",IF(OR($H105=L$2,$I105=L$2),"FC3",IF($J105=L$2,"FC3 Night",""))))</f>
        <v>Day</v>
      </c>
      <c r="M105" s="36" t="str">
        <f>IF(OR($D105=M$2,$E105=M$2,$F105=M$2),"Day",IF($G105=M$2,"Night",IF(OR($H105=M$2,$I105=M$2),"FC3",IF($J105=M$2,"FC3 Night","OFF"))))</f>
        <v>OFF</v>
      </c>
      <c r="N105" s="36" t="str">
        <f>IF(OR($D105=N$2,$E105=N$2,$F105=N$2),"Day",IF($G105=N$2,"Night",IF(OR($H105=N$2,$I105=N$2),"FC3",IF($J105=N$2,"FC3 Night",""))))</f>
        <v>Day</v>
      </c>
      <c r="O105" s="36" t="str">
        <f t="shared" si="66"/>
        <v/>
      </c>
      <c r="P105" s="36" t="str">
        <f>IF(OR($D105=P$2,$E105=P$2,$F105=P$2),"Day",IF($G105=P$2,"Night",IF(OR($H105=P$2,$I105=P$2),"FC3",IF($J105=P$2,"FC3 Night",""))))</f>
        <v/>
      </c>
      <c r="Q105" s="36" t="str">
        <f>IF(OR($D105=Q$2,$E105=Q$2,$F105=Q$2),"Day",IF($G105=Q$2,"Night",IF(OR($H105=Q$2,$I105=Q$2),"FC3",IF($J105=Q$2,"FC3 Night","OFF"))))</f>
        <v>OFF</v>
      </c>
      <c r="R105" s="36" t="str">
        <f t="shared" si="70"/>
        <v/>
      </c>
      <c r="S105" s="36" t="str">
        <f t="shared" si="67"/>
        <v>Night</v>
      </c>
      <c r="T105" s="36" t="str">
        <f>IF(OR($D105=T$2,$E105=T$2,$F105=T$2),"Day",IF($G105=T$2,"Night",IF(OR($H105=T$2,$I105=T$2),"FC3",IF($J105=T$2,"FC3 Night",""))))</f>
        <v>Day</v>
      </c>
      <c r="U105" s="36" t="str">
        <f t="shared" si="68"/>
        <v/>
      </c>
      <c r="V105" s="36" t="str">
        <f t="shared" si="68"/>
        <v/>
      </c>
      <c r="W105" s="36" t="str">
        <f t="shared" si="68"/>
        <v/>
      </c>
      <c r="X105" s="36" t="str">
        <f t="shared" si="68"/>
        <v/>
      </c>
      <c r="Y105" s="36" t="str">
        <f t="shared" si="68"/>
        <v/>
      </c>
      <c r="Z105" s="36" t="str">
        <f t="shared" si="68"/>
        <v/>
      </c>
      <c r="AA105" s="128">
        <v>46416</v>
      </c>
    </row>
    <row r="106" spans="1:27" ht="18" customHeight="1" x14ac:dyDescent="0.35">
      <c r="A106" s="129" t="s">
        <v>210</v>
      </c>
      <c r="B106" s="115" t="s">
        <v>33</v>
      </c>
      <c r="C106" s="115" t="s">
        <v>23</v>
      </c>
      <c r="D106" s="61" t="s">
        <v>42</v>
      </c>
      <c r="E106" s="62" t="s">
        <v>46</v>
      </c>
      <c r="F106" s="62" t="s">
        <v>44</v>
      </c>
      <c r="G106" s="64" t="s">
        <v>49</v>
      </c>
      <c r="H106" s="42"/>
      <c r="I106" s="37"/>
      <c r="J106" s="44"/>
      <c r="K106" s="38" t="str">
        <f>IF(OR($D106=K$2,$E106=K$2,$F106=K$2),"Day",IF($G106=K$2,"Night",IF(OR($H106=K$2,$I106=K$2),"FC3",IF($J106=K$2,"FC3 Night","OFF"))))</f>
        <v>OFF</v>
      </c>
      <c r="L106" s="38" t="str">
        <f>IF(OR($D106=L$2,$E106=L$2,$F106=L$2),"Day",IF($G106=L$2,"Night",IF(OR($H106=L$2,$I106=L$2),"FC3",IF($J106=L$2,"FC3 Night",""))))</f>
        <v>Day</v>
      </c>
      <c r="M106" s="38" t="str">
        <f>IF(OR($D106=M$2,$E106=M$2,$F106=M$2),"Day",IF($G106=M$2,"Night",IF(OR($H106=M$2,$I106=M$2),"FC3",IF($J106=M$2,"FC3 Night","OFF"))))</f>
        <v>OFF</v>
      </c>
      <c r="N106" s="38" t="str">
        <f>IF(OR($D106=N$2,$E106=N$2,$F106=N$2),"Day",IF($G106=N$2,"Night",IF(OR($H106=N$2,$I106=N$2),"FC3",IF($J106=N$2,"FC3 Night",""))))</f>
        <v>Day</v>
      </c>
      <c r="O106" s="38" t="str">
        <f t="shared" si="66"/>
        <v/>
      </c>
      <c r="P106" s="38" t="str">
        <f>IF(OR($D106=P$2,$E106=P$2,$F106=P$2),"Day",IF($G106=P$2,"Night",IF(OR($H106=P$2,$I106=P$2),"FC3",IF($J106=P$2,"FC3 Night",""))))</f>
        <v>Day</v>
      </c>
      <c r="Q106" s="38" t="str">
        <f>IF(OR($D106=Q$2,$E106=Q$2,$F106=Q$2),"Day",IF($G106=Q$2,"Night",IF(OR($H106=Q$2,$I106=Q$2),"FC3",IF($J106=Q$2,"FC3 Night","OFF"))))</f>
        <v>OFF</v>
      </c>
      <c r="R106" s="38" t="str">
        <f t="shared" si="70"/>
        <v/>
      </c>
      <c r="S106" s="38" t="str">
        <f t="shared" si="67"/>
        <v>Night</v>
      </c>
      <c r="T106" s="38" t="str">
        <f>IF(OR($D106=T$2,$E106=T$2,$F106=T$2),"Day",IF($G106=T$2,"Night",IF(OR($H106=T$2,$I106=T$2),"FC3",IF($J106=T$2,"FC3 Night",""))))</f>
        <v/>
      </c>
      <c r="U106" s="38" t="str">
        <f t="shared" si="68"/>
        <v/>
      </c>
      <c r="V106" s="38" t="str">
        <f t="shared" si="68"/>
        <v/>
      </c>
      <c r="W106" s="38" t="str">
        <f t="shared" si="68"/>
        <v/>
      </c>
      <c r="X106" s="38" t="str">
        <f t="shared" si="68"/>
        <v/>
      </c>
      <c r="Y106" s="38" t="str">
        <f t="shared" si="68"/>
        <v/>
      </c>
      <c r="Z106" s="38" t="str">
        <f t="shared" si="68"/>
        <v/>
      </c>
      <c r="AA106" s="128">
        <v>46417</v>
      </c>
    </row>
    <row r="107" spans="1:27" ht="18" customHeight="1" thickBot="1" x14ac:dyDescent="0.4">
      <c r="A107" s="132" t="s">
        <v>211</v>
      </c>
      <c r="B107" s="133" t="s">
        <v>27</v>
      </c>
      <c r="C107" s="133" t="s">
        <v>23</v>
      </c>
      <c r="D107" s="134" t="s">
        <v>44</v>
      </c>
      <c r="E107" s="135" t="s">
        <v>42</v>
      </c>
      <c r="F107" s="135" t="s">
        <v>46</v>
      </c>
      <c r="G107" s="136" t="s">
        <v>49</v>
      </c>
      <c r="H107" s="137"/>
      <c r="I107" s="138"/>
      <c r="J107" s="139"/>
      <c r="K107" s="140" t="str">
        <f>IF(OR($D107=K$2,$E107=K$2,$F107=K$2),"Day",IF($G107=K$2,"Night",IF(OR($H107=K$2,$I107=K$2),"FC3",IF($J107=K$2,"FC3 Night","OFF"))))</f>
        <v>OFF</v>
      </c>
      <c r="L107" s="140" t="str">
        <f>IF(OR($D107=L$2,$E107=L$2,$F107=L$2),"Day",IF($G107=L$2,"Night",IF(OR($H107=L$2,$I107=L$2),"FC3",IF($J107=L$2,"FC3 Night",""))))</f>
        <v>Day</v>
      </c>
      <c r="M107" s="140" t="str">
        <f>IF(OR($D107=M$2,$E107=M$2,$F107=M$2),"Day",IF($G107=M$2,"Night",IF(OR($H107=M$2,$I107=M$2),"FC3",IF($J107=M$2,"FC3 Night",""))))</f>
        <v/>
      </c>
      <c r="N107" s="140" t="str">
        <f>IF(OR($D107=N$2,$E107=N$2,$F107=N$2),"Day",IF($G107=N$2,"Night",IF(OR($H107=N$2,$I107=N$2),"FC3",IF($J107=N$2,"FC3 Night",""))))</f>
        <v>Day</v>
      </c>
      <c r="O107" s="140" t="str">
        <f t="shared" si="66"/>
        <v/>
      </c>
      <c r="P107" s="140" t="str">
        <f>IF(OR($D107=P$2,$E107=P$2,$F107=P$2),"Day",IF($G107=P$2,"Night",IF(OR($H107=P$2,$I107=P$2),"FC3",IF($J107=P$2,"FC3 Night",""))))</f>
        <v>Day</v>
      </c>
      <c r="Q107" s="140" t="str">
        <f>IF(OR($D107=Q$2,$E107=Q$2,$F107=Q$2),"Day",IF($G107=Q$2,"Night",IF(OR($H107=Q$2,$I107=Q$2),"FC3",IF($J107=Q$2,"FC3 Night","OFF"))))</f>
        <v>OFF</v>
      </c>
      <c r="R107" s="140" t="str">
        <f t="shared" si="70"/>
        <v/>
      </c>
      <c r="S107" s="140" t="str">
        <f t="shared" si="67"/>
        <v>Night</v>
      </c>
      <c r="T107" s="140" t="str">
        <f>IF(OR($D107=T$2,$E107=T$2,$F107=T$2),"Day",IF($G107=T$2,"Night",IF(OR($H107=T$2,$I107=T$2),"FC3",IF($J107=T$2,"FC3 Night",""))))</f>
        <v/>
      </c>
      <c r="U107" s="140" t="str">
        <f t="shared" si="68"/>
        <v/>
      </c>
      <c r="V107" s="140" t="str">
        <f t="shared" si="68"/>
        <v/>
      </c>
      <c r="W107" s="140" t="str">
        <f t="shared" si="68"/>
        <v/>
      </c>
      <c r="X107" s="140" t="str">
        <f t="shared" si="68"/>
        <v/>
      </c>
      <c r="Y107" s="140" t="str">
        <f t="shared" si="68"/>
        <v/>
      </c>
      <c r="Z107" s="140" t="str">
        <f t="shared" si="68"/>
        <v/>
      </c>
      <c r="AA107" s="141">
        <v>46418</v>
      </c>
    </row>
  </sheetData>
  <mergeCells count="9">
    <mergeCell ref="A48:D48"/>
    <mergeCell ref="A63:D63"/>
    <mergeCell ref="A78:D78"/>
    <mergeCell ref="A93:D93"/>
    <mergeCell ref="D1:G1"/>
    <mergeCell ref="H1:J1"/>
    <mergeCell ref="A3:D3"/>
    <mergeCell ref="A18:D18"/>
    <mergeCell ref="A33:D33"/>
  </mergeCells>
  <conditionalFormatting sqref="D3:F107">
    <cfRule type="notContainsBlanks" dxfId="35" priority="26">
      <formula>LEN(TRIM(D3))&gt;0</formula>
    </cfRule>
  </conditionalFormatting>
  <conditionalFormatting sqref="G3:G107">
    <cfRule type="notContainsBlanks" dxfId="34" priority="25">
      <formula>LEN(TRIM(G3))&gt;0</formula>
    </cfRule>
  </conditionalFormatting>
  <conditionalFormatting sqref="H3:J107">
    <cfRule type="notContainsBlanks" dxfId="33" priority="24">
      <formula>LEN(TRIM(H3))&gt;0</formula>
    </cfRule>
  </conditionalFormatting>
  <conditionalFormatting sqref="K3:K106">
    <cfRule type="expression" dxfId="32" priority="16">
      <formula>AND($K3="Day",$K4="Night")</formula>
    </cfRule>
  </conditionalFormatting>
  <conditionalFormatting sqref="K3:Z107">
    <cfRule type="containsText" dxfId="31" priority="17" operator="containsText" text="Yellow">
      <formula>NOT(ISERROR(SEARCH("Yellow", K3)))</formula>
    </cfRule>
    <cfRule type="containsText" dxfId="30" priority="18" operator="containsText" text="PTO">
      <formula>NOT(ISERROR(SEARCH("PTO", K3)))</formula>
    </cfRule>
    <cfRule type="containsText" dxfId="29" priority="19" operator="containsText" text="CME">
      <formula>NOT(ISERROR(SEARCH("CME", K3)))</formula>
    </cfRule>
    <cfRule type="containsText" dxfId="28" priority="20" operator="containsText" text="OFF">
      <formula>NOT(ISERROR(SEARCH("OFF", K3)))</formula>
    </cfRule>
    <cfRule type="containsText" dxfId="27" priority="21" operator="containsText" text="FC3">
      <formula>NOT(ISERROR(SEARCH("FC3", K3)))</formula>
    </cfRule>
    <cfRule type="containsText" dxfId="26" priority="22" operator="containsText" text="Night">
      <formula>NOT(ISERROR(SEARCH("Night", K3)))</formula>
    </cfRule>
    <cfRule type="containsText" dxfId="25" priority="23" operator="containsText" text="Day">
      <formula>NOT(ISERROR(SEARCH("Day", K3)))</formula>
    </cfRule>
  </conditionalFormatting>
  <conditionalFormatting sqref="L3:L106">
    <cfRule type="expression" dxfId="24" priority="15">
      <formula>AND($L3="Day",$L4="Night")</formula>
    </cfRule>
  </conditionalFormatting>
  <conditionalFormatting sqref="M3:M106">
    <cfRule type="expression" dxfId="23" priority="14">
      <formula>AND($M3="Day",$M4="Night")</formula>
    </cfRule>
  </conditionalFormatting>
  <conditionalFormatting sqref="N3:N106">
    <cfRule type="expression" dxfId="22" priority="13">
      <formula>AND($N3="Day",$N4="Night")</formula>
    </cfRule>
  </conditionalFormatting>
  <conditionalFormatting sqref="O3:O106">
    <cfRule type="expression" dxfId="21" priority="12">
      <formula>AND($O3="Day",$O4="Night")</formula>
    </cfRule>
  </conditionalFormatting>
  <conditionalFormatting sqref="P3:P106">
    <cfRule type="expression" dxfId="20" priority="11">
      <formula>AND($P3="Day",$P4="Night")</formula>
    </cfRule>
  </conditionalFormatting>
  <conditionalFormatting sqref="Q3:Q106">
    <cfRule type="expression" dxfId="19" priority="10">
      <formula>AND($Q3="Day",$Q4="Night")</formula>
    </cfRule>
  </conditionalFormatting>
  <conditionalFormatting sqref="R3:R106">
    <cfRule type="expression" dxfId="18" priority="9">
      <formula>AND($R3="Day",$R4="Night")</formula>
    </cfRule>
  </conditionalFormatting>
  <conditionalFormatting sqref="S3:S106">
    <cfRule type="expression" dxfId="17" priority="8">
      <formula>AND($S3="Day",$S4="Night")</formula>
    </cfRule>
  </conditionalFormatting>
  <conditionalFormatting sqref="T3:T106">
    <cfRule type="expression" dxfId="16" priority="7">
      <formula>AND($T3="Day",$T4="Night")</formula>
    </cfRule>
  </conditionalFormatting>
  <conditionalFormatting sqref="U3:U106">
    <cfRule type="expression" dxfId="15" priority="6">
      <formula>AND($U3="Day",$U4="Night")</formula>
    </cfRule>
  </conditionalFormatting>
  <conditionalFormatting sqref="V3:V106">
    <cfRule type="expression" dxfId="14" priority="5">
      <formula>AND($V3="Day",$V4="Night")</formula>
    </cfRule>
  </conditionalFormatting>
  <conditionalFormatting sqref="W3:W106">
    <cfRule type="expression" dxfId="13" priority="4">
      <formula>AND($W3="Day",$W4="Night")</formula>
    </cfRule>
  </conditionalFormatting>
  <conditionalFormatting sqref="X3:X106">
    <cfRule type="expression" dxfId="12" priority="3">
      <formula>AND($X3="Day",$X4="Night")</formula>
    </cfRule>
  </conditionalFormatting>
  <conditionalFormatting sqref="Y3:Y106">
    <cfRule type="expression" dxfId="11" priority="2">
      <formula>AND($Y3="Day",$Y4="Night")</formula>
    </cfRule>
  </conditionalFormatting>
  <conditionalFormatting sqref="Z3:Z106">
    <cfRule type="expression" dxfId="10" priority="1">
      <formula>AND($Z3="Day",$Z4="Night")</formula>
    </cfRule>
  </conditionalFormatting>
  <dataValidations count="1">
    <dataValidation type="list" allowBlank="1" showInputMessage="1" showErrorMessage="1" sqref="D3:J107" xr:uid="{00000000-0002-0000-0200-000000000000}">
      <formula1>"Katie,Hayden,John,Maureen,Mandie,Caroline,Kristin,Radha,Jamie,Todd,Matt,Jen,Kennedy,Preet,Rose,Katia"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6"/>
  <sheetViews>
    <sheetView workbookViewId="0">
      <pane ySplit="2" topLeftCell="A3" activePane="bottomLeft" state="frozen"/>
      <selection pane="bottomLeft" activeCell="I10" sqref="I10"/>
    </sheetView>
  </sheetViews>
  <sheetFormatPr defaultColWidth="10.90625" defaultRowHeight="14.5" x14ac:dyDescent="0.35"/>
  <cols>
    <col min="1" max="1" width="12.7265625" customWidth="1"/>
    <col min="2" max="2" width="8.7265625" customWidth="1"/>
    <col min="3" max="4" width="16.7265625" customWidth="1"/>
    <col min="5" max="5" width="21.6328125" customWidth="1"/>
    <col min="9" max="9" width="50.453125" customWidth="1"/>
  </cols>
  <sheetData>
    <row r="1" spans="1:9" s="68" customFormat="1" ht="18.5" customHeight="1" thickBot="1" x14ac:dyDescent="0.4">
      <c r="A1" s="95" t="s">
        <v>91</v>
      </c>
      <c r="B1" s="96" t="s">
        <v>92</v>
      </c>
      <c r="C1" s="96" t="s">
        <v>93</v>
      </c>
      <c r="D1" s="96" t="s">
        <v>213</v>
      </c>
      <c r="E1" s="96" t="s">
        <v>94</v>
      </c>
      <c r="F1" s="96" t="s">
        <v>94</v>
      </c>
      <c r="G1" s="96" t="s">
        <v>95</v>
      </c>
      <c r="H1" s="96" t="s">
        <v>95</v>
      </c>
      <c r="I1" s="97" t="s">
        <v>212</v>
      </c>
    </row>
    <row r="2" spans="1:9" s="68" customFormat="1" ht="15" thickBot="1" x14ac:dyDescent="0.4">
      <c r="A2" s="98" t="s">
        <v>99</v>
      </c>
      <c r="B2" s="80"/>
      <c r="C2" s="80"/>
      <c r="D2" s="69"/>
      <c r="E2" s="69"/>
      <c r="F2" s="81"/>
      <c r="G2" s="81"/>
      <c r="H2" s="82"/>
      <c r="I2" s="99"/>
    </row>
    <row r="3" spans="1:9" x14ac:dyDescent="0.35">
      <c r="A3" s="100" t="s">
        <v>104</v>
      </c>
      <c r="B3" s="83" t="s">
        <v>28</v>
      </c>
      <c r="C3" s="84" t="s">
        <v>11</v>
      </c>
      <c r="D3" s="70">
        <f>COUNTIF([1]Schedule!D3:F3, "")</f>
        <v>1</v>
      </c>
      <c r="E3" s="71"/>
      <c r="F3" s="72"/>
      <c r="G3" s="85"/>
      <c r="H3" s="73"/>
      <c r="I3" s="101"/>
    </row>
    <row r="4" spans="1:9" x14ac:dyDescent="0.35">
      <c r="A4" s="102" t="s">
        <v>106</v>
      </c>
      <c r="B4" s="86" t="s">
        <v>29</v>
      </c>
      <c r="C4" s="87" t="s">
        <v>11</v>
      </c>
      <c r="D4" s="70">
        <f>COUNTIF([1]Schedule!D4:F4, "")</f>
        <v>0</v>
      </c>
      <c r="E4" s="74"/>
      <c r="F4" s="75"/>
      <c r="G4" s="75"/>
      <c r="H4" s="76"/>
      <c r="I4" s="101"/>
    </row>
    <row r="5" spans="1:9" x14ac:dyDescent="0.35">
      <c r="A5" s="102" t="s">
        <v>107</v>
      </c>
      <c r="B5" s="86" t="s">
        <v>30</v>
      </c>
      <c r="C5" s="87" t="s">
        <v>11</v>
      </c>
      <c r="D5" s="70">
        <f>COUNTIF([1]Schedule!D5:F5, "")</f>
        <v>0</v>
      </c>
      <c r="E5" s="74"/>
      <c r="F5" s="75"/>
      <c r="G5" s="75"/>
      <c r="H5" s="76"/>
      <c r="I5" s="101"/>
    </row>
    <row r="6" spans="1:9" x14ac:dyDescent="0.35">
      <c r="A6" s="102" t="s">
        <v>108</v>
      </c>
      <c r="B6" s="86" t="s">
        <v>31</v>
      </c>
      <c r="C6" s="87" t="s">
        <v>11</v>
      </c>
      <c r="D6" s="70">
        <f>COUNTIF([1]Schedule!D6:F6, "")</f>
        <v>0</v>
      </c>
      <c r="E6" s="74"/>
      <c r="F6" s="75"/>
      <c r="G6" s="75"/>
      <c r="H6" s="88"/>
      <c r="I6" s="101"/>
    </row>
    <row r="7" spans="1:9" x14ac:dyDescent="0.35">
      <c r="A7" s="102" t="s">
        <v>109</v>
      </c>
      <c r="B7" s="86" t="s">
        <v>32</v>
      </c>
      <c r="C7" s="87" t="s">
        <v>11</v>
      </c>
      <c r="D7" s="70">
        <f>COUNTIF([1]Schedule!D7:F7, "")</f>
        <v>0</v>
      </c>
      <c r="E7" s="74"/>
      <c r="F7" s="75"/>
      <c r="G7" s="75"/>
      <c r="H7" s="76"/>
      <c r="I7" s="101"/>
    </row>
    <row r="8" spans="1:9" x14ac:dyDescent="0.35">
      <c r="A8" s="103" t="s">
        <v>110</v>
      </c>
      <c r="B8" s="89" t="s">
        <v>33</v>
      </c>
      <c r="C8" s="90" t="s">
        <v>11</v>
      </c>
      <c r="D8" s="70">
        <f>COUNTIF([1]Schedule!D8:F8, "")</f>
        <v>1</v>
      </c>
      <c r="E8" s="74"/>
      <c r="F8" s="75"/>
      <c r="G8" s="91"/>
      <c r="H8" s="76"/>
      <c r="I8" s="101"/>
    </row>
    <row r="9" spans="1:9" x14ac:dyDescent="0.35">
      <c r="A9" s="103" t="s">
        <v>111</v>
      </c>
      <c r="B9" s="89" t="s">
        <v>27</v>
      </c>
      <c r="C9" s="90" t="s">
        <v>11</v>
      </c>
      <c r="D9" s="70">
        <f>COUNTIF([1]Schedule!D9:F9, "")</f>
        <v>2</v>
      </c>
      <c r="E9" s="74"/>
      <c r="F9" s="91"/>
      <c r="G9" s="91"/>
      <c r="H9" s="76"/>
      <c r="I9" s="101"/>
    </row>
    <row r="10" spans="1:9" x14ac:dyDescent="0.35">
      <c r="A10" s="102" t="s">
        <v>112</v>
      </c>
      <c r="B10" s="86" t="s">
        <v>28</v>
      </c>
      <c r="C10" s="87" t="s">
        <v>11</v>
      </c>
      <c r="D10" s="70">
        <f>COUNTIF([1]Schedule!D10:F10, "")</f>
        <v>0</v>
      </c>
      <c r="E10" s="74"/>
      <c r="F10" s="75"/>
      <c r="G10" s="75"/>
      <c r="H10" s="76"/>
      <c r="I10" s="101"/>
    </row>
    <row r="11" spans="1:9" x14ac:dyDescent="0.35">
      <c r="A11" s="102" t="s">
        <v>113</v>
      </c>
      <c r="B11" s="86" t="s">
        <v>29</v>
      </c>
      <c r="C11" s="87" t="s">
        <v>11</v>
      </c>
      <c r="D11" s="70">
        <f>COUNTIF([1]Schedule!D11:F11, "")</f>
        <v>1</v>
      </c>
      <c r="E11" s="74"/>
      <c r="F11" s="75"/>
      <c r="G11" s="91"/>
      <c r="H11" s="76"/>
      <c r="I11" s="101"/>
    </row>
    <row r="12" spans="1:9" x14ac:dyDescent="0.35">
      <c r="A12" s="102" t="s">
        <v>114</v>
      </c>
      <c r="B12" s="86" t="s">
        <v>30</v>
      </c>
      <c r="C12" s="87" t="s">
        <v>11</v>
      </c>
      <c r="D12" s="70">
        <f>COUNTIF([1]Schedule!D12:F12, "")</f>
        <v>0</v>
      </c>
      <c r="E12" s="74"/>
      <c r="F12" s="75"/>
      <c r="G12" s="75"/>
      <c r="H12" s="76"/>
      <c r="I12" s="101"/>
    </row>
    <row r="13" spans="1:9" x14ac:dyDescent="0.35">
      <c r="A13" s="102" t="s">
        <v>115</v>
      </c>
      <c r="B13" s="86" t="s">
        <v>31</v>
      </c>
      <c r="C13" s="87" t="s">
        <v>11</v>
      </c>
      <c r="D13" s="70">
        <f>COUNTIF([1]Schedule!D13:F13, "")</f>
        <v>1</v>
      </c>
      <c r="E13" s="74"/>
      <c r="F13" s="75"/>
      <c r="G13" s="91"/>
      <c r="H13" s="76"/>
      <c r="I13" s="101"/>
    </row>
    <row r="14" spans="1:9" x14ac:dyDescent="0.35">
      <c r="A14" s="102" t="s">
        <v>116</v>
      </c>
      <c r="B14" s="86" t="s">
        <v>32</v>
      </c>
      <c r="C14" s="87" t="s">
        <v>11</v>
      </c>
      <c r="D14" s="70">
        <f>COUNTIF([1]Schedule!D14:F14, "")</f>
        <v>1</v>
      </c>
      <c r="E14" s="74"/>
      <c r="F14" s="75"/>
      <c r="G14" s="91"/>
      <c r="H14" s="76"/>
      <c r="I14" s="101"/>
    </row>
    <row r="15" spans="1:9" x14ac:dyDescent="0.35">
      <c r="A15" s="103" t="s">
        <v>117</v>
      </c>
      <c r="B15" s="89" t="s">
        <v>33</v>
      </c>
      <c r="C15" s="90" t="s">
        <v>11</v>
      </c>
      <c r="D15" s="70">
        <f>COUNTIF([1]Schedule!D15:F15, "")</f>
        <v>1</v>
      </c>
      <c r="E15" s="74"/>
      <c r="F15" s="75"/>
      <c r="G15" s="91"/>
      <c r="H15" s="76"/>
      <c r="I15" s="101"/>
    </row>
    <row r="16" spans="1:9" ht="15" thickBot="1" x14ac:dyDescent="0.4">
      <c r="A16" s="104" t="s">
        <v>118</v>
      </c>
      <c r="B16" s="92" t="s">
        <v>27</v>
      </c>
      <c r="C16" s="93" t="s">
        <v>11</v>
      </c>
      <c r="D16" s="70">
        <f>COUNTIF([1]Schedule!D16:F16, "")</f>
        <v>1</v>
      </c>
      <c r="E16" s="77"/>
      <c r="F16" s="78"/>
      <c r="G16" s="94"/>
      <c r="H16" s="79"/>
      <c r="I16" s="101"/>
    </row>
    <row r="17" spans="1:9" ht="15" thickBot="1" x14ac:dyDescent="0.4">
      <c r="A17" s="98" t="s">
        <v>119</v>
      </c>
      <c r="B17" s="80"/>
      <c r="C17" s="80"/>
      <c r="D17" s="69"/>
      <c r="E17" s="69"/>
      <c r="F17" s="81"/>
      <c r="G17" s="81"/>
      <c r="H17" s="82"/>
      <c r="I17" s="99"/>
    </row>
    <row r="18" spans="1:9" x14ac:dyDescent="0.35">
      <c r="A18" s="100" t="s">
        <v>121</v>
      </c>
      <c r="B18" s="83" t="s">
        <v>28</v>
      </c>
      <c r="C18" s="84" t="s">
        <v>13</v>
      </c>
      <c r="D18" s="70">
        <f>COUNTIF([1]Schedule!D18:F18, "")</f>
        <v>1</v>
      </c>
      <c r="E18" s="71"/>
      <c r="F18" s="72"/>
      <c r="G18" s="85"/>
      <c r="H18" s="73"/>
      <c r="I18" s="101"/>
    </row>
    <row r="19" spans="1:9" x14ac:dyDescent="0.35">
      <c r="A19" s="102" t="s">
        <v>122</v>
      </c>
      <c r="B19" s="86" t="s">
        <v>29</v>
      </c>
      <c r="C19" s="87" t="s">
        <v>13</v>
      </c>
      <c r="D19" s="70">
        <f>COUNTIF([1]Schedule!D19:F19, "")</f>
        <v>0</v>
      </c>
      <c r="E19" s="74"/>
      <c r="F19" s="75"/>
      <c r="G19" s="75"/>
      <c r="H19" s="76"/>
      <c r="I19" s="101"/>
    </row>
    <row r="20" spans="1:9" x14ac:dyDescent="0.35">
      <c r="A20" s="102" t="s">
        <v>123</v>
      </c>
      <c r="B20" s="86" t="s">
        <v>30</v>
      </c>
      <c r="C20" s="87" t="s">
        <v>13</v>
      </c>
      <c r="D20" s="70">
        <f>COUNTIF([1]Schedule!D20:F20, "")</f>
        <v>0</v>
      </c>
      <c r="E20" s="74"/>
      <c r="F20" s="75"/>
      <c r="G20" s="75"/>
      <c r="H20" s="76"/>
      <c r="I20" s="101"/>
    </row>
    <row r="21" spans="1:9" x14ac:dyDescent="0.35">
      <c r="A21" s="102" t="s">
        <v>124</v>
      </c>
      <c r="B21" s="86" t="s">
        <v>31</v>
      </c>
      <c r="C21" s="87" t="s">
        <v>13</v>
      </c>
      <c r="D21" s="70">
        <f>COUNTIF([1]Schedule!D21:F21, "")</f>
        <v>1</v>
      </c>
      <c r="E21" s="74"/>
      <c r="F21" s="75"/>
      <c r="G21" s="75"/>
      <c r="H21" s="88"/>
      <c r="I21" s="101"/>
    </row>
    <row r="22" spans="1:9" x14ac:dyDescent="0.35">
      <c r="A22" s="102" t="s">
        <v>125</v>
      </c>
      <c r="B22" s="86" t="s">
        <v>32</v>
      </c>
      <c r="C22" s="87" t="s">
        <v>13</v>
      </c>
      <c r="D22" s="70">
        <f>COUNTIF([1]Schedule!D22:F22, "")</f>
        <v>0</v>
      </c>
      <c r="E22" s="74"/>
      <c r="F22" s="75"/>
      <c r="G22" s="75"/>
      <c r="H22" s="76"/>
      <c r="I22" s="101"/>
    </row>
    <row r="23" spans="1:9" x14ac:dyDescent="0.35">
      <c r="A23" s="103" t="s">
        <v>126</v>
      </c>
      <c r="B23" s="89" t="s">
        <v>33</v>
      </c>
      <c r="C23" s="90" t="s">
        <v>13</v>
      </c>
      <c r="D23" s="70">
        <f>COUNTIF([1]Schedule!D23:F23, "")</f>
        <v>1</v>
      </c>
      <c r="E23" s="74"/>
      <c r="F23" s="75"/>
      <c r="G23" s="91"/>
      <c r="H23" s="76"/>
      <c r="I23" s="101"/>
    </row>
    <row r="24" spans="1:9" x14ac:dyDescent="0.35">
      <c r="A24" s="103" t="s">
        <v>127</v>
      </c>
      <c r="B24" s="89" t="s">
        <v>27</v>
      </c>
      <c r="C24" s="90" t="s">
        <v>13</v>
      </c>
      <c r="D24" s="70">
        <f>COUNTIF([1]Schedule!D24:F24, "")</f>
        <v>1</v>
      </c>
      <c r="E24" s="74"/>
      <c r="F24" s="91"/>
      <c r="G24" s="91"/>
      <c r="H24" s="76"/>
      <c r="I24" s="101"/>
    </row>
    <row r="25" spans="1:9" x14ac:dyDescent="0.35">
      <c r="A25" s="102" t="s">
        <v>128</v>
      </c>
      <c r="B25" s="86" t="s">
        <v>28</v>
      </c>
      <c r="C25" s="87" t="s">
        <v>13</v>
      </c>
      <c r="D25" s="70">
        <f>COUNTIF([1]Schedule!D25:F25, "")</f>
        <v>0</v>
      </c>
      <c r="E25" s="74"/>
      <c r="F25" s="75"/>
      <c r="G25" s="75"/>
      <c r="H25" s="76"/>
      <c r="I25" s="101"/>
    </row>
    <row r="26" spans="1:9" x14ac:dyDescent="0.35">
      <c r="A26" s="102" t="s">
        <v>129</v>
      </c>
      <c r="B26" s="86" t="s">
        <v>29</v>
      </c>
      <c r="C26" s="87" t="s">
        <v>13</v>
      </c>
      <c r="D26" s="70">
        <f>COUNTIF([1]Schedule!D26:F26, "")</f>
        <v>0</v>
      </c>
      <c r="E26" s="74"/>
      <c r="F26" s="75"/>
      <c r="G26" s="91"/>
      <c r="H26" s="76"/>
      <c r="I26" s="101"/>
    </row>
    <row r="27" spans="1:9" x14ac:dyDescent="0.35">
      <c r="A27" s="102" t="s">
        <v>130</v>
      </c>
      <c r="B27" s="86" t="s">
        <v>30</v>
      </c>
      <c r="C27" s="87" t="s">
        <v>13</v>
      </c>
      <c r="D27" s="70">
        <f>COUNTIF([1]Schedule!D27:F27, "")</f>
        <v>0</v>
      </c>
      <c r="E27" s="74"/>
      <c r="F27" s="75"/>
      <c r="G27" s="75"/>
      <c r="H27" s="76"/>
      <c r="I27" s="101"/>
    </row>
    <row r="28" spans="1:9" x14ac:dyDescent="0.35">
      <c r="A28" s="102" t="s">
        <v>131</v>
      </c>
      <c r="B28" s="86" t="s">
        <v>31</v>
      </c>
      <c r="C28" s="87" t="s">
        <v>13</v>
      </c>
      <c r="D28" s="70">
        <f>COUNTIF([1]Schedule!D28:F28, "")</f>
        <v>1</v>
      </c>
      <c r="E28" s="74"/>
      <c r="F28" s="75"/>
      <c r="G28" s="91"/>
      <c r="H28" s="76"/>
      <c r="I28" s="101"/>
    </row>
    <row r="29" spans="1:9" x14ac:dyDescent="0.35">
      <c r="A29" s="102" t="s">
        <v>132</v>
      </c>
      <c r="B29" s="86" t="s">
        <v>32</v>
      </c>
      <c r="C29" s="87" t="s">
        <v>13</v>
      </c>
      <c r="D29" s="70">
        <f>COUNTIF([1]Schedule!D29:F29, "")</f>
        <v>1</v>
      </c>
      <c r="E29" s="74"/>
      <c r="F29" s="75"/>
      <c r="G29" s="91"/>
      <c r="H29" s="76"/>
      <c r="I29" s="101"/>
    </row>
    <row r="30" spans="1:9" x14ac:dyDescent="0.35">
      <c r="A30" s="103" t="s">
        <v>133</v>
      </c>
      <c r="B30" s="89" t="s">
        <v>33</v>
      </c>
      <c r="C30" s="90" t="s">
        <v>13</v>
      </c>
      <c r="D30" s="70">
        <f>COUNTIF([1]Schedule!D30:F30, "")</f>
        <v>0</v>
      </c>
      <c r="E30" s="74"/>
      <c r="F30" s="75"/>
      <c r="G30" s="91"/>
      <c r="H30" s="76"/>
      <c r="I30" s="101"/>
    </row>
    <row r="31" spans="1:9" ht="15" thickBot="1" x14ac:dyDescent="0.4">
      <c r="A31" s="104" t="s">
        <v>134</v>
      </c>
      <c r="B31" s="92" t="s">
        <v>27</v>
      </c>
      <c r="C31" s="93" t="s">
        <v>13</v>
      </c>
      <c r="D31" s="70">
        <f>COUNTIF([1]Schedule!D31:F31, "")</f>
        <v>0</v>
      </c>
      <c r="E31" s="77"/>
      <c r="F31" s="78"/>
      <c r="G31" s="94"/>
      <c r="H31" s="79"/>
      <c r="I31" s="101"/>
    </row>
    <row r="32" spans="1:9" ht="15" thickBot="1" x14ac:dyDescent="0.4">
      <c r="A32" s="98" t="s">
        <v>135</v>
      </c>
      <c r="B32" s="80"/>
      <c r="C32" s="80"/>
      <c r="D32" s="69"/>
      <c r="E32" s="69"/>
      <c r="F32" s="81"/>
      <c r="G32" s="81"/>
      <c r="H32" s="82"/>
      <c r="I32" s="99"/>
    </row>
    <row r="33" spans="1:9" x14ac:dyDescent="0.35">
      <c r="A33" s="100" t="s">
        <v>137</v>
      </c>
      <c r="B33" s="83" t="s">
        <v>28</v>
      </c>
      <c r="C33" s="84" t="s">
        <v>15</v>
      </c>
      <c r="D33" s="70">
        <f>COUNTIF([1]Schedule!D33:F33, "")</f>
        <v>0</v>
      </c>
      <c r="E33" s="71"/>
      <c r="F33" s="72"/>
      <c r="G33" s="85"/>
      <c r="H33" s="73"/>
      <c r="I33" s="101"/>
    </row>
    <row r="34" spans="1:9" x14ac:dyDescent="0.35">
      <c r="A34" s="102" t="s">
        <v>138</v>
      </c>
      <c r="B34" s="86" t="s">
        <v>29</v>
      </c>
      <c r="C34" s="87" t="s">
        <v>15</v>
      </c>
      <c r="D34" s="70">
        <f>COUNTIF([1]Schedule!D34:F34, "")</f>
        <v>0</v>
      </c>
      <c r="E34" s="74"/>
      <c r="F34" s="75"/>
      <c r="G34" s="75"/>
      <c r="H34" s="76"/>
      <c r="I34" s="101"/>
    </row>
    <row r="35" spans="1:9" x14ac:dyDescent="0.35">
      <c r="A35" s="102" t="s">
        <v>139</v>
      </c>
      <c r="B35" s="86" t="s">
        <v>30</v>
      </c>
      <c r="C35" s="87" t="s">
        <v>15</v>
      </c>
      <c r="D35" s="70">
        <f>COUNTIF([1]Schedule!D35:F35, "")</f>
        <v>0</v>
      </c>
      <c r="E35" s="74" t="s">
        <v>2</v>
      </c>
      <c r="F35" s="75"/>
      <c r="G35" s="75"/>
      <c r="H35" s="76"/>
      <c r="I35" s="101"/>
    </row>
    <row r="36" spans="1:9" x14ac:dyDescent="0.35">
      <c r="A36" s="102" t="s">
        <v>140</v>
      </c>
      <c r="B36" s="86" t="s">
        <v>31</v>
      </c>
      <c r="C36" s="87" t="s">
        <v>15</v>
      </c>
      <c r="D36" s="70">
        <f>COUNTIF([1]Schedule!D36:F36, "")</f>
        <v>1</v>
      </c>
      <c r="E36" s="74"/>
      <c r="F36" s="75"/>
      <c r="G36" s="75"/>
      <c r="H36" s="88"/>
      <c r="I36" s="101"/>
    </row>
    <row r="37" spans="1:9" x14ac:dyDescent="0.35">
      <c r="A37" s="102" t="s">
        <v>141</v>
      </c>
      <c r="B37" s="86" t="s">
        <v>32</v>
      </c>
      <c r="C37" s="87" t="s">
        <v>15</v>
      </c>
      <c r="D37" s="70">
        <f>COUNTIF([1]Schedule!D37:F37, "")</f>
        <v>1</v>
      </c>
      <c r="E37" s="74"/>
      <c r="F37" s="75"/>
      <c r="G37" s="75"/>
      <c r="H37" s="76"/>
      <c r="I37" s="101"/>
    </row>
    <row r="38" spans="1:9" x14ac:dyDescent="0.35">
      <c r="A38" s="103" t="s">
        <v>142</v>
      </c>
      <c r="B38" s="89" t="s">
        <v>33</v>
      </c>
      <c r="C38" s="90" t="s">
        <v>15</v>
      </c>
      <c r="D38" s="70">
        <f>COUNTIF([1]Schedule!D38:F38, "")</f>
        <v>1</v>
      </c>
      <c r="E38" s="74"/>
      <c r="F38" s="75"/>
      <c r="G38" s="91"/>
      <c r="H38" s="76"/>
      <c r="I38" s="101"/>
    </row>
    <row r="39" spans="1:9" x14ac:dyDescent="0.35">
      <c r="A39" s="103" t="s">
        <v>143</v>
      </c>
      <c r="B39" s="89" t="s">
        <v>27</v>
      </c>
      <c r="C39" s="90" t="s">
        <v>15</v>
      </c>
      <c r="D39" s="70">
        <f>COUNTIF([1]Schedule!D39:F39, "")</f>
        <v>0</v>
      </c>
      <c r="E39" s="74" t="s">
        <v>2</v>
      </c>
      <c r="F39" s="91"/>
      <c r="G39" s="91"/>
      <c r="H39" s="76"/>
      <c r="I39" s="101"/>
    </row>
    <row r="40" spans="1:9" x14ac:dyDescent="0.35">
      <c r="A40" s="102" t="s">
        <v>144</v>
      </c>
      <c r="B40" s="86" t="s">
        <v>28</v>
      </c>
      <c r="C40" s="87" t="s">
        <v>15</v>
      </c>
      <c r="D40" s="70">
        <f>COUNTIF([1]Schedule!D40:F40, "")</f>
        <v>0</v>
      </c>
      <c r="E40" s="74"/>
      <c r="F40" s="75"/>
      <c r="G40" s="75"/>
      <c r="H40" s="76"/>
      <c r="I40" s="101"/>
    </row>
    <row r="41" spans="1:9" x14ac:dyDescent="0.35">
      <c r="A41" s="102" t="s">
        <v>145</v>
      </c>
      <c r="B41" s="86" t="s">
        <v>29</v>
      </c>
      <c r="C41" s="87" t="s">
        <v>15</v>
      </c>
      <c r="D41" s="70">
        <f>COUNTIF([1]Schedule!D41:F41, "")</f>
        <v>0</v>
      </c>
      <c r="E41" s="74"/>
      <c r="F41" s="75"/>
      <c r="G41" s="91"/>
      <c r="H41" s="76"/>
      <c r="I41" s="101"/>
    </row>
    <row r="42" spans="1:9" x14ac:dyDescent="0.35">
      <c r="A42" s="102" t="s">
        <v>146</v>
      </c>
      <c r="B42" s="86" t="s">
        <v>30</v>
      </c>
      <c r="C42" s="87" t="s">
        <v>15</v>
      </c>
      <c r="D42" s="70">
        <f>COUNTIF([1]Schedule!D42:F42, "")</f>
        <v>0</v>
      </c>
      <c r="E42" s="74"/>
      <c r="F42" s="75"/>
      <c r="G42" s="75"/>
      <c r="H42" s="76"/>
      <c r="I42" s="101"/>
    </row>
    <row r="43" spans="1:9" x14ac:dyDescent="0.35">
      <c r="A43" s="102" t="s">
        <v>147</v>
      </c>
      <c r="B43" s="86" t="s">
        <v>31</v>
      </c>
      <c r="C43" s="87" t="s">
        <v>15</v>
      </c>
      <c r="D43" s="70">
        <f>COUNTIF([1]Schedule!D43:F43, "")</f>
        <v>0</v>
      </c>
      <c r="E43" s="74"/>
      <c r="F43" s="75"/>
      <c r="G43" s="91"/>
      <c r="H43" s="76"/>
      <c r="I43" s="101"/>
    </row>
    <row r="44" spans="1:9" x14ac:dyDescent="0.35">
      <c r="A44" s="102" t="s">
        <v>148</v>
      </c>
      <c r="B44" s="86" t="s">
        <v>32</v>
      </c>
      <c r="C44" s="87" t="s">
        <v>15</v>
      </c>
      <c r="D44" s="70">
        <f>COUNTIF([1]Schedule!D44:F44, "")</f>
        <v>0</v>
      </c>
      <c r="E44" s="74"/>
      <c r="F44" s="75"/>
      <c r="G44" s="91"/>
      <c r="H44" s="76"/>
      <c r="I44" s="101"/>
    </row>
    <row r="45" spans="1:9" x14ac:dyDescent="0.35">
      <c r="A45" s="103" t="s">
        <v>149</v>
      </c>
      <c r="B45" s="89" t="s">
        <v>33</v>
      </c>
      <c r="C45" s="90" t="s">
        <v>15</v>
      </c>
      <c r="D45" s="70">
        <f>COUNTIF([1]Schedule!D45:F45, "")</f>
        <v>0</v>
      </c>
      <c r="E45" s="74"/>
      <c r="F45" s="75"/>
      <c r="G45" s="91"/>
      <c r="H45" s="76"/>
      <c r="I45" s="101"/>
    </row>
    <row r="46" spans="1:9" ht="15" thickBot="1" x14ac:dyDescent="0.4">
      <c r="A46" s="104" t="s">
        <v>150</v>
      </c>
      <c r="B46" s="92" t="s">
        <v>27</v>
      </c>
      <c r="C46" s="93" t="s">
        <v>15</v>
      </c>
      <c r="D46" s="70">
        <f>COUNTIF([1]Schedule!D46:F46, "")</f>
        <v>0</v>
      </c>
      <c r="E46" s="77"/>
      <c r="F46" s="78"/>
      <c r="G46" s="94"/>
      <c r="H46" s="79"/>
      <c r="I46" s="101"/>
    </row>
    <row r="47" spans="1:9" ht="15" thickBot="1" x14ac:dyDescent="0.4">
      <c r="A47" s="98" t="s">
        <v>151</v>
      </c>
      <c r="B47" s="80"/>
      <c r="C47" s="80"/>
      <c r="D47" s="69"/>
      <c r="E47" s="69"/>
      <c r="F47" s="81"/>
      <c r="G47" s="81"/>
      <c r="H47" s="82"/>
      <c r="I47" s="99"/>
    </row>
    <row r="48" spans="1:9" x14ac:dyDescent="0.35">
      <c r="A48" s="100" t="s">
        <v>152</v>
      </c>
      <c r="B48" s="83" t="s">
        <v>28</v>
      </c>
      <c r="C48" s="84" t="s">
        <v>17</v>
      </c>
      <c r="D48" s="70">
        <f>COUNTIF([1]Schedule!D48:F48, "")</f>
        <v>0</v>
      </c>
      <c r="E48" s="71"/>
      <c r="F48" s="72"/>
      <c r="G48" s="85"/>
      <c r="H48" s="73"/>
      <c r="I48" s="101"/>
    </row>
    <row r="49" spans="1:9" x14ac:dyDescent="0.35">
      <c r="A49" s="102" t="s">
        <v>153</v>
      </c>
      <c r="B49" s="86" t="s">
        <v>29</v>
      </c>
      <c r="C49" s="87" t="s">
        <v>17</v>
      </c>
      <c r="D49" s="70">
        <f>COUNTIF([1]Schedule!D49:F49, "")</f>
        <v>0</v>
      </c>
      <c r="E49" s="74"/>
      <c r="F49" s="75"/>
      <c r="G49" s="75"/>
      <c r="H49" s="76"/>
      <c r="I49" s="101"/>
    </row>
    <row r="50" spans="1:9" x14ac:dyDescent="0.35">
      <c r="A50" s="102" t="s">
        <v>154</v>
      </c>
      <c r="B50" s="86" t="s">
        <v>30</v>
      </c>
      <c r="C50" s="87" t="s">
        <v>17</v>
      </c>
      <c r="D50" s="70">
        <f>COUNTIF([1]Schedule!D50:F50, "")</f>
        <v>0</v>
      </c>
      <c r="E50" s="74"/>
      <c r="F50" s="75"/>
      <c r="G50" s="75"/>
      <c r="H50" s="76"/>
      <c r="I50" s="101"/>
    </row>
    <row r="51" spans="1:9" x14ac:dyDescent="0.35">
      <c r="A51" s="102" t="s">
        <v>155</v>
      </c>
      <c r="B51" s="86" t="s">
        <v>31</v>
      </c>
      <c r="C51" s="87" t="s">
        <v>17</v>
      </c>
      <c r="D51" s="70">
        <f>COUNTIF([1]Schedule!D51:F51, "")</f>
        <v>1</v>
      </c>
      <c r="E51" s="74"/>
      <c r="F51" s="75"/>
      <c r="G51" s="75"/>
      <c r="H51" s="88"/>
      <c r="I51" s="101"/>
    </row>
    <row r="52" spans="1:9" x14ac:dyDescent="0.35">
      <c r="A52" s="102" t="s">
        <v>156</v>
      </c>
      <c r="B52" s="86" t="s">
        <v>32</v>
      </c>
      <c r="C52" s="87" t="s">
        <v>17</v>
      </c>
      <c r="D52" s="70">
        <f>COUNTIF([1]Schedule!D52:F52, "")</f>
        <v>0</v>
      </c>
      <c r="E52" s="74"/>
      <c r="F52" s="75"/>
      <c r="G52" s="75"/>
      <c r="H52" s="76"/>
      <c r="I52" s="101"/>
    </row>
    <row r="53" spans="1:9" x14ac:dyDescent="0.35">
      <c r="A53" s="103" t="s">
        <v>157</v>
      </c>
      <c r="B53" s="89" t="s">
        <v>33</v>
      </c>
      <c r="C53" s="90" t="s">
        <v>17</v>
      </c>
      <c r="D53" s="70">
        <f>COUNTIF([1]Schedule!D53:F53, "")</f>
        <v>1</v>
      </c>
      <c r="E53" s="74"/>
      <c r="F53" s="75"/>
      <c r="G53" s="91"/>
      <c r="H53" s="76"/>
      <c r="I53" s="101"/>
    </row>
    <row r="54" spans="1:9" x14ac:dyDescent="0.35">
      <c r="A54" s="103" t="s">
        <v>158</v>
      </c>
      <c r="B54" s="89" t="s">
        <v>27</v>
      </c>
      <c r="C54" s="90" t="s">
        <v>17</v>
      </c>
      <c r="D54" s="70">
        <f>COUNTIF([1]Schedule!D54:F54, "")</f>
        <v>1</v>
      </c>
      <c r="E54" s="74"/>
      <c r="F54" s="91"/>
      <c r="G54" s="91"/>
      <c r="H54" s="76"/>
      <c r="I54" s="101"/>
    </row>
    <row r="55" spans="1:9" x14ac:dyDescent="0.35">
      <c r="A55" s="102" t="s">
        <v>159</v>
      </c>
      <c r="B55" s="86" t="s">
        <v>28</v>
      </c>
      <c r="C55" s="87" t="s">
        <v>17</v>
      </c>
      <c r="D55" s="70">
        <f>COUNTIF([1]Schedule!D55:F55, "")</f>
        <v>0</v>
      </c>
      <c r="E55" s="74"/>
      <c r="F55" s="75"/>
      <c r="G55" s="75"/>
      <c r="H55" s="76"/>
      <c r="I55" s="101"/>
    </row>
    <row r="56" spans="1:9" x14ac:dyDescent="0.35">
      <c r="A56" s="102" t="s">
        <v>160</v>
      </c>
      <c r="B56" s="86" t="s">
        <v>29</v>
      </c>
      <c r="C56" s="87" t="s">
        <v>17</v>
      </c>
      <c r="D56" s="70">
        <f>COUNTIF([1]Schedule!D56:F56, "")</f>
        <v>0</v>
      </c>
      <c r="E56" s="74"/>
      <c r="F56" s="75"/>
      <c r="G56" s="91"/>
      <c r="H56" s="76"/>
      <c r="I56" s="101"/>
    </row>
    <row r="57" spans="1:9" x14ac:dyDescent="0.35">
      <c r="A57" s="102" t="s">
        <v>161</v>
      </c>
      <c r="B57" s="86" t="s">
        <v>30</v>
      </c>
      <c r="C57" s="87" t="s">
        <v>17</v>
      </c>
      <c r="D57" s="70">
        <f>COUNTIF([1]Schedule!D57:F57, "")</f>
        <v>0</v>
      </c>
      <c r="E57" s="74"/>
      <c r="F57" s="75"/>
      <c r="G57" s="75"/>
      <c r="H57" s="76"/>
      <c r="I57" s="101"/>
    </row>
    <row r="58" spans="1:9" x14ac:dyDescent="0.35">
      <c r="A58" s="102" t="s">
        <v>162</v>
      </c>
      <c r="B58" s="86" t="s">
        <v>31</v>
      </c>
      <c r="C58" s="87" t="s">
        <v>17</v>
      </c>
      <c r="D58" s="70">
        <f>COUNTIF([1]Schedule!D58:F58, "")</f>
        <v>0</v>
      </c>
      <c r="E58" s="74"/>
      <c r="F58" s="75"/>
      <c r="G58" s="91"/>
      <c r="H58" s="76"/>
      <c r="I58" s="101"/>
    </row>
    <row r="59" spans="1:9" x14ac:dyDescent="0.35">
      <c r="A59" s="102" t="s">
        <v>163</v>
      </c>
      <c r="B59" s="86" t="s">
        <v>32</v>
      </c>
      <c r="C59" s="87" t="s">
        <v>17</v>
      </c>
      <c r="D59" s="70">
        <f>COUNTIF([1]Schedule!D59:F59, "")</f>
        <v>0</v>
      </c>
      <c r="E59" s="74"/>
      <c r="F59" s="75"/>
      <c r="G59" s="91"/>
      <c r="H59" s="76"/>
      <c r="I59" s="101"/>
    </row>
    <row r="60" spans="1:9" x14ac:dyDescent="0.35">
      <c r="A60" s="103" t="s">
        <v>164</v>
      </c>
      <c r="B60" s="89" t="s">
        <v>33</v>
      </c>
      <c r="C60" s="90" t="s">
        <v>17</v>
      </c>
      <c r="D60" s="70">
        <f>COUNTIF([1]Schedule!D60:F60, "")</f>
        <v>0</v>
      </c>
      <c r="E60" s="74"/>
      <c r="F60" s="75"/>
      <c r="G60" s="91"/>
      <c r="H60" s="76"/>
      <c r="I60" s="101"/>
    </row>
    <row r="61" spans="1:9" ht="15" thickBot="1" x14ac:dyDescent="0.4">
      <c r="A61" s="104" t="s">
        <v>165</v>
      </c>
      <c r="B61" s="92" t="s">
        <v>27</v>
      </c>
      <c r="C61" s="93" t="s">
        <v>17</v>
      </c>
      <c r="D61" s="70">
        <f>COUNTIF([1]Schedule!D61:F61, "")</f>
        <v>0</v>
      </c>
      <c r="E61" s="77"/>
      <c r="F61" s="78"/>
      <c r="G61" s="94"/>
      <c r="H61" s="79"/>
      <c r="I61" s="101"/>
    </row>
    <row r="62" spans="1:9" ht="15" thickBot="1" x14ac:dyDescent="0.4">
      <c r="A62" s="98" t="s">
        <v>166</v>
      </c>
      <c r="B62" s="80"/>
      <c r="C62" s="80"/>
      <c r="D62" s="69"/>
      <c r="E62" s="69"/>
      <c r="F62" s="81"/>
      <c r="G62" s="81"/>
      <c r="H62" s="82"/>
      <c r="I62" s="99"/>
    </row>
    <row r="63" spans="1:9" x14ac:dyDescent="0.35">
      <c r="A63" s="100" t="s">
        <v>167</v>
      </c>
      <c r="B63" s="83" t="s">
        <v>28</v>
      </c>
      <c r="C63" s="84" t="s">
        <v>19</v>
      </c>
      <c r="D63" s="70">
        <f>COUNTIF([1]Schedule!D63:F63, "")</f>
        <v>0</v>
      </c>
      <c r="E63" s="71"/>
      <c r="F63" s="72"/>
      <c r="G63" s="85"/>
      <c r="H63" s="73"/>
      <c r="I63" s="101"/>
    </row>
    <row r="64" spans="1:9" x14ac:dyDescent="0.35">
      <c r="A64" s="102" t="s">
        <v>168</v>
      </c>
      <c r="B64" s="86" t="s">
        <v>29</v>
      </c>
      <c r="C64" s="87" t="s">
        <v>19</v>
      </c>
      <c r="D64" s="70">
        <f>COUNTIF([1]Schedule!D64:F64, "")</f>
        <v>0</v>
      </c>
      <c r="E64" s="74"/>
      <c r="F64" s="75"/>
      <c r="G64" s="75"/>
      <c r="H64" s="76"/>
      <c r="I64" s="101"/>
    </row>
    <row r="65" spans="1:9" x14ac:dyDescent="0.35">
      <c r="A65" s="102" t="s">
        <v>169</v>
      </c>
      <c r="B65" s="86" t="s">
        <v>30</v>
      </c>
      <c r="C65" s="87" t="s">
        <v>19</v>
      </c>
      <c r="D65" s="70">
        <f>COUNTIF([1]Schedule!D65:F65, "")</f>
        <v>0</v>
      </c>
      <c r="E65" s="74"/>
      <c r="F65" s="75"/>
      <c r="G65" s="75"/>
      <c r="H65" s="76"/>
      <c r="I65" s="101"/>
    </row>
    <row r="66" spans="1:9" x14ac:dyDescent="0.35">
      <c r="A66" s="102" t="s">
        <v>170</v>
      </c>
      <c r="B66" s="86" t="s">
        <v>31</v>
      </c>
      <c r="C66" s="87" t="s">
        <v>19</v>
      </c>
      <c r="D66" s="70">
        <f>COUNTIF([1]Schedule!D66:F66, "")</f>
        <v>1</v>
      </c>
      <c r="E66" s="74"/>
      <c r="F66" s="75"/>
      <c r="G66" s="75"/>
      <c r="H66" s="88"/>
      <c r="I66" s="101"/>
    </row>
    <row r="67" spans="1:9" x14ac:dyDescent="0.35">
      <c r="A67" s="102" t="s">
        <v>171</v>
      </c>
      <c r="B67" s="86" t="s">
        <v>32</v>
      </c>
      <c r="C67" s="87" t="s">
        <v>19</v>
      </c>
      <c r="D67" s="70">
        <f>COUNTIF([1]Schedule!D67:F67, "")</f>
        <v>1</v>
      </c>
      <c r="E67" s="74"/>
      <c r="F67" s="75"/>
      <c r="G67" s="75"/>
      <c r="H67" s="76"/>
      <c r="I67" s="101"/>
    </row>
    <row r="68" spans="1:9" x14ac:dyDescent="0.35">
      <c r="A68" s="103" t="s">
        <v>172</v>
      </c>
      <c r="B68" s="89" t="s">
        <v>33</v>
      </c>
      <c r="C68" s="90" t="s">
        <v>19</v>
      </c>
      <c r="D68" s="70">
        <f>COUNTIF([1]Schedule!D68:F68, "")</f>
        <v>1</v>
      </c>
      <c r="E68" s="74"/>
      <c r="F68" s="75"/>
      <c r="G68" s="91"/>
      <c r="H68" s="76"/>
      <c r="I68" s="101"/>
    </row>
    <row r="69" spans="1:9" x14ac:dyDescent="0.35">
      <c r="A69" s="103" t="s">
        <v>173</v>
      </c>
      <c r="B69" s="89" t="s">
        <v>27</v>
      </c>
      <c r="C69" s="90" t="s">
        <v>19</v>
      </c>
      <c r="D69" s="70">
        <f>COUNTIF([1]Schedule!D69:F69, "")</f>
        <v>0</v>
      </c>
      <c r="E69" s="74"/>
      <c r="F69" s="91"/>
      <c r="G69" s="91"/>
      <c r="H69" s="76"/>
      <c r="I69" s="101"/>
    </row>
    <row r="70" spans="1:9" x14ac:dyDescent="0.35">
      <c r="A70" s="102" t="s">
        <v>174</v>
      </c>
      <c r="B70" s="86" t="s">
        <v>28</v>
      </c>
      <c r="C70" s="87" t="s">
        <v>19</v>
      </c>
      <c r="D70" s="70">
        <f>COUNTIF([1]Schedule!D70:F70, "")</f>
        <v>0</v>
      </c>
      <c r="E70" s="74"/>
      <c r="F70" s="75"/>
      <c r="G70" s="75"/>
      <c r="H70" s="76"/>
      <c r="I70" s="101"/>
    </row>
    <row r="71" spans="1:9" x14ac:dyDescent="0.35">
      <c r="A71" s="102" t="s">
        <v>175</v>
      </c>
      <c r="B71" s="86" t="s">
        <v>29</v>
      </c>
      <c r="C71" s="87" t="s">
        <v>19</v>
      </c>
      <c r="D71" s="70">
        <f>COUNTIF([1]Schedule!D71:F71, "")</f>
        <v>0</v>
      </c>
      <c r="E71" s="74"/>
      <c r="F71" s="75"/>
      <c r="G71" s="91"/>
      <c r="H71" s="76"/>
      <c r="I71" s="101"/>
    </row>
    <row r="72" spans="1:9" x14ac:dyDescent="0.35">
      <c r="A72" s="102" t="s">
        <v>176</v>
      </c>
      <c r="B72" s="86" t="s">
        <v>30</v>
      </c>
      <c r="C72" s="87" t="s">
        <v>19</v>
      </c>
      <c r="D72" s="70">
        <f>COUNTIF([1]Schedule!D72:F72, "")</f>
        <v>0</v>
      </c>
      <c r="E72" s="74"/>
      <c r="F72" s="75"/>
      <c r="G72" s="75"/>
      <c r="H72" s="76"/>
      <c r="I72" s="101"/>
    </row>
    <row r="73" spans="1:9" x14ac:dyDescent="0.35">
      <c r="A73" s="102" t="s">
        <v>177</v>
      </c>
      <c r="B73" s="86" t="s">
        <v>31</v>
      </c>
      <c r="C73" s="87" t="s">
        <v>19</v>
      </c>
      <c r="D73" s="70">
        <f>COUNTIF([1]Schedule!D73:F73, "")</f>
        <v>1</v>
      </c>
      <c r="E73" s="74"/>
      <c r="F73" s="75"/>
      <c r="G73" s="91"/>
      <c r="H73" s="76"/>
      <c r="I73" s="101"/>
    </row>
    <row r="74" spans="1:9" x14ac:dyDescent="0.35">
      <c r="A74" s="102" t="s">
        <v>178</v>
      </c>
      <c r="B74" s="86" t="s">
        <v>32</v>
      </c>
      <c r="C74" s="87" t="s">
        <v>19</v>
      </c>
      <c r="D74" s="70">
        <f>COUNTIF([1]Schedule!D74:F74, "")</f>
        <v>1</v>
      </c>
      <c r="E74" s="74"/>
      <c r="F74" s="75"/>
      <c r="G74" s="91"/>
      <c r="H74" s="76"/>
      <c r="I74" s="101"/>
    </row>
    <row r="75" spans="1:9" x14ac:dyDescent="0.35">
      <c r="A75" s="103" t="s">
        <v>179</v>
      </c>
      <c r="B75" s="89" t="s">
        <v>33</v>
      </c>
      <c r="C75" s="90" t="s">
        <v>19</v>
      </c>
      <c r="D75" s="70">
        <f>COUNTIF([1]Schedule!D75:F75, "")</f>
        <v>0</v>
      </c>
      <c r="E75" s="74"/>
      <c r="F75" s="75"/>
      <c r="G75" s="91"/>
      <c r="H75" s="76"/>
      <c r="I75" s="101"/>
    </row>
    <row r="76" spans="1:9" ht="15" thickBot="1" x14ac:dyDescent="0.4">
      <c r="A76" s="104" t="s">
        <v>180</v>
      </c>
      <c r="B76" s="92" t="s">
        <v>27</v>
      </c>
      <c r="C76" s="93" t="s">
        <v>19</v>
      </c>
      <c r="D76" s="70">
        <f>COUNTIF([1]Schedule!D76:F76, "")</f>
        <v>0</v>
      </c>
      <c r="E76" s="77"/>
      <c r="F76" s="78"/>
      <c r="G76" s="94"/>
      <c r="H76" s="79"/>
      <c r="I76" s="101"/>
    </row>
    <row r="77" spans="1:9" ht="15" thickBot="1" x14ac:dyDescent="0.4">
      <c r="A77" s="98" t="s">
        <v>181</v>
      </c>
      <c r="B77" s="80"/>
      <c r="C77" s="80"/>
      <c r="D77" s="69"/>
      <c r="E77" s="69"/>
      <c r="F77" s="81"/>
      <c r="G77" s="81"/>
      <c r="H77" s="82"/>
      <c r="I77" s="99"/>
    </row>
    <row r="78" spans="1:9" x14ac:dyDescent="0.35">
      <c r="A78" s="100" t="s">
        <v>182</v>
      </c>
      <c r="B78" s="83" t="s">
        <v>28</v>
      </c>
      <c r="C78" s="84" t="s">
        <v>21</v>
      </c>
      <c r="D78" s="70">
        <f>COUNTIF([1]Schedule!D78:F78, "")</f>
        <v>0</v>
      </c>
      <c r="E78" s="71"/>
      <c r="F78" s="72"/>
      <c r="G78" s="85"/>
      <c r="H78" s="73"/>
      <c r="I78" s="101"/>
    </row>
    <row r="79" spans="1:9" x14ac:dyDescent="0.35">
      <c r="A79" s="102" t="s">
        <v>183</v>
      </c>
      <c r="B79" s="86" t="s">
        <v>29</v>
      </c>
      <c r="C79" s="87" t="s">
        <v>21</v>
      </c>
      <c r="D79" s="70">
        <f>COUNTIF([1]Schedule!D79:F79, "")</f>
        <v>0</v>
      </c>
      <c r="E79" s="74"/>
      <c r="F79" s="75"/>
      <c r="G79" s="75"/>
      <c r="H79" s="76"/>
      <c r="I79" s="101"/>
    </row>
    <row r="80" spans="1:9" x14ac:dyDescent="0.35">
      <c r="A80" s="102" t="s">
        <v>184</v>
      </c>
      <c r="B80" s="86" t="s">
        <v>30</v>
      </c>
      <c r="C80" s="87" t="s">
        <v>21</v>
      </c>
      <c r="D80" s="70">
        <f>COUNTIF([1]Schedule!D80:F80, "")</f>
        <v>0</v>
      </c>
      <c r="E80" s="74"/>
      <c r="F80" s="75"/>
      <c r="G80" s="75"/>
      <c r="H80" s="76"/>
      <c r="I80" s="101"/>
    </row>
    <row r="81" spans="1:9" x14ac:dyDescent="0.35">
      <c r="A81" s="102" t="s">
        <v>185</v>
      </c>
      <c r="B81" s="86" t="s">
        <v>31</v>
      </c>
      <c r="C81" s="87" t="s">
        <v>21</v>
      </c>
      <c r="D81" s="70">
        <f>COUNTIF([1]Schedule!D81:F81, "")</f>
        <v>0</v>
      </c>
      <c r="E81" s="74"/>
      <c r="F81" s="75"/>
      <c r="G81" s="75"/>
      <c r="H81" s="88"/>
      <c r="I81" s="101"/>
    </row>
    <row r="82" spans="1:9" x14ac:dyDescent="0.35">
      <c r="A82" s="102" t="s">
        <v>186</v>
      </c>
      <c r="B82" s="86" t="s">
        <v>32</v>
      </c>
      <c r="C82" s="87" t="s">
        <v>21</v>
      </c>
      <c r="D82" s="70">
        <f>COUNTIF([1]Schedule!D82:F82, "")</f>
        <v>0</v>
      </c>
      <c r="E82" s="74"/>
      <c r="F82" s="75"/>
      <c r="G82" s="75"/>
      <c r="H82" s="76"/>
      <c r="I82" s="101"/>
    </row>
    <row r="83" spans="1:9" x14ac:dyDescent="0.35">
      <c r="A83" s="103" t="s">
        <v>187</v>
      </c>
      <c r="B83" s="89" t="s">
        <v>33</v>
      </c>
      <c r="C83" s="90" t="s">
        <v>21</v>
      </c>
      <c r="D83" s="70">
        <f>COUNTIF([1]Schedule!D83:F83, "")</f>
        <v>0</v>
      </c>
      <c r="E83" s="74"/>
      <c r="F83" s="75"/>
      <c r="G83" s="91"/>
      <c r="H83" s="76"/>
      <c r="I83" s="101"/>
    </row>
    <row r="84" spans="1:9" x14ac:dyDescent="0.35">
      <c r="A84" s="103" t="s">
        <v>188</v>
      </c>
      <c r="B84" s="89" t="s">
        <v>27</v>
      </c>
      <c r="C84" s="90" t="s">
        <v>21</v>
      </c>
      <c r="D84" s="70">
        <f>COUNTIF([1]Schedule!D84:F84, "")</f>
        <v>0</v>
      </c>
      <c r="E84" s="74"/>
      <c r="F84" s="91"/>
      <c r="G84" s="91"/>
      <c r="H84" s="76"/>
      <c r="I84" s="101"/>
    </row>
    <row r="85" spans="1:9" x14ac:dyDescent="0.35">
      <c r="A85" s="102" t="s">
        <v>189</v>
      </c>
      <c r="B85" s="86" t="s">
        <v>28</v>
      </c>
      <c r="C85" s="87" t="s">
        <v>21</v>
      </c>
      <c r="D85" s="70">
        <f>COUNTIF([1]Schedule!D85:F85, "")</f>
        <v>0</v>
      </c>
      <c r="E85" s="74"/>
      <c r="F85" s="75"/>
      <c r="G85" s="75"/>
      <c r="H85" s="76"/>
      <c r="I85" s="101"/>
    </row>
    <row r="86" spans="1:9" x14ac:dyDescent="0.35">
      <c r="A86" s="102" t="s">
        <v>190</v>
      </c>
      <c r="B86" s="86" t="s">
        <v>29</v>
      </c>
      <c r="C86" s="87" t="s">
        <v>21</v>
      </c>
      <c r="D86" s="70">
        <f>COUNTIF([1]Schedule!D86:F86, "")</f>
        <v>0</v>
      </c>
      <c r="E86" s="74"/>
      <c r="F86" s="75"/>
      <c r="G86" s="91"/>
      <c r="H86" s="76"/>
      <c r="I86" s="101"/>
    </row>
    <row r="87" spans="1:9" x14ac:dyDescent="0.35">
      <c r="A87" s="102" t="s">
        <v>191</v>
      </c>
      <c r="B87" s="86" t="s">
        <v>30</v>
      </c>
      <c r="C87" s="87" t="s">
        <v>21</v>
      </c>
      <c r="D87" s="70">
        <f>COUNTIF([1]Schedule!D87:F87, "")</f>
        <v>0</v>
      </c>
      <c r="E87" s="74"/>
      <c r="F87" s="75"/>
      <c r="G87" s="75"/>
      <c r="H87" s="76"/>
      <c r="I87" s="101"/>
    </row>
    <row r="88" spans="1:9" x14ac:dyDescent="0.35">
      <c r="A88" s="102" t="s">
        <v>192</v>
      </c>
      <c r="B88" s="86" t="s">
        <v>31</v>
      </c>
      <c r="C88" s="87" t="s">
        <v>21</v>
      </c>
      <c r="D88" s="70">
        <f>COUNTIF([1]Schedule!D88:F88, "")</f>
        <v>0</v>
      </c>
      <c r="E88" s="74"/>
      <c r="F88" s="75"/>
      <c r="G88" s="91"/>
      <c r="H88" s="76"/>
      <c r="I88" s="101"/>
    </row>
    <row r="89" spans="1:9" x14ac:dyDescent="0.35">
      <c r="A89" s="102" t="s">
        <v>193</v>
      </c>
      <c r="B89" s="86" t="s">
        <v>32</v>
      </c>
      <c r="C89" s="87" t="s">
        <v>21</v>
      </c>
      <c r="D89" s="70">
        <f>COUNTIF([1]Schedule!D89:F89, "")</f>
        <v>0</v>
      </c>
      <c r="E89" s="74"/>
      <c r="F89" s="75"/>
      <c r="G89" s="91"/>
      <c r="H89" s="76"/>
      <c r="I89" s="101"/>
    </row>
    <row r="90" spans="1:9" x14ac:dyDescent="0.35">
      <c r="A90" s="103" t="s">
        <v>194</v>
      </c>
      <c r="B90" s="89" t="s">
        <v>33</v>
      </c>
      <c r="C90" s="90" t="s">
        <v>21</v>
      </c>
      <c r="D90" s="70">
        <f>COUNTIF([1]Schedule!D90:F90, "")</f>
        <v>0</v>
      </c>
      <c r="E90" s="74"/>
      <c r="F90" s="75"/>
      <c r="G90" s="91"/>
      <c r="H90" s="76"/>
      <c r="I90" s="101"/>
    </row>
    <row r="91" spans="1:9" ht="15" thickBot="1" x14ac:dyDescent="0.4">
      <c r="A91" s="104" t="s">
        <v>195</v>
      </c>
      <c r="B91" s="92" t="s">
        <v>27</v>
      </c>
      <c r="C91" s="93" t="s">
        <v>21</v>
      </c>
      <c r="D91" s="70">
        <f>COUNTIF([1]Schedule!D91:F91, "")</f>
        <v>0</v>
      </c>
      <c r="E91" s="77"/>
      <c r="F91" s="78"/>
      <c r="G91" s="94"/>
      <c r="H91" s="79"/>
      <c r="I91" s="101"/>
    </row>
    <row r="92" spans="1:9" ht="15" thickBot="1" x14ac:dyDescent="0.4">
      <c r="A92" s="98" t="s">
        <v>196</v>
      </c>
      <c r="B92" s="80"/>
      <c r="C92" s="80"/>
      <c r="D92" s="69"/>
      <c r="E92" s="69"/>
      <c r="F92" s="81"/>
      <c r="G92" s="81"/>
      <c r="H92" s="82"/>
      <c r="I92" s="99"/>
    </row>
    <row r="93" spans="1:9" x14ac:dyDescent="0.35">
      <c r="A93" s="100" t="s">
        <v>198</v>
      </c>
      <c r="B93" s="83" t="s">
        <v>28</v>
      </c>
      <c r="C93" s="84" t="s">
        <v>23</v>
      </c>
      <c r="D93" s="70">
        <f>COUNTIF([1]Schedule!D93:F93, "")</f>
        <v>0</v>
      </c>
      <c r="E93" s="71"/>
      <c r="F93" s="72"/>
      <c r="G93" s="85"/>
      <c r="H93" s="73"/>
      <c r="I93" s="101"/>
    </row>
    <row r="94" spans="1:9" x14ac:dyDescent="0.35">
      <c r="A94" s="102" t="s">
        <v>199</v>
      </c>
      <c r="B94" s="86" t="s">
        <v>29</v>
      </c>
      <c r="C94" s="87" t="s">
        <v>23</v>
      </c>
      <c r="D94" s="70">
        <f>COUNTIF([1]Schedule!D94:F94, "")</f>
        <v>0</v>
      </c>
      <c r="E94" s="74"/>
      <c r="F94" s="75"/>
      <c r="G94" s="75"/>
      <c r="H94" s="76"/>
      <c r="I94" s="101"/>
    </row>
    <row r="95" spans="1:9" x14ac:dyDescent="0.35">
      <c r="A95" s="102" t="s">
        <v>200</v>
      </c>
      <c r="B95" s="86" t="s">
        <v>30</v>
      </c>
      <c r="C95" s="87" t="s">
        <v>23</v>
      </c>
      <c r="D95" s="70">
        <f>COUNTIF([1]Schedule!D95:F95, "")</f>
        <v>0</v>
      </c>
      <c r="E95" s="74"/>
      <c r="F95" s="75"/>
      <c r="G95" s="75"/>
      <c r="H95" s="76"/>
      <c r="I95" s="101"/>
    </row>
    <row r="96" spans="1:9" x14ac:dyDescent="0.35">
      <c r="A96" s="102" t="s">
        <v>201</v>
      </c>
      <c r="B96" s="86" t="s">
        <v>31</v>
      </c>
      <c r="C96" s="87" t="s">
        <v>23</v>
      </c>
      <c r="D96" s="70">
        <f>COUNTIF([1]Schedule!D96:F96, "")</f>
        <v>0</v>
      </c>
      <c r="E96" s="74"/>
      <c r="F96" s="75"/>
      <c r="G96" s="75"/>
      <c r="H96" s="88"/>
      <c r="I96" s="101"/>
    </row>
    <row r="97" spans="1:9" x14ac:dyDescent="0.35">
      <c r="A97" s="102" t="s">
        <v>202</v>
      </c>
      <c r="B97" s="86" t="s">
        <v>32</v>
      </c>
      <c r="C97" s="87" t="s">
        <v>23</v>
      </c>
      <c r="D97" s="70">
        <f>COUNTIF([1]Schedule!D97:F97, "")</f>
        <v>0</v>
      </c>
      <c r="E97" s="74"/>
      <c r="F97" s="75"/>
      <c r="G97" s="75"/>
      <c r="H97" s="76"/>
      <c r="I97" s="101"/>
    </row>
    <row r="98" spans="1:9" x14ac:dyDescent="0.35">
      <c r="A98" s="103" t="s">
        <v>203</v>
      </c>
      <c r="B98" s="89" t="s">
        <v>33</v>
      </c>
      <c r="C98" s="90" t="s">
        <v>23</v>
      </c>
      <c r="D98" s="70">
        <f>COUNTIF([1]Schedule!D98:F98, "")</f>
        <v>0</v>
      </c>
      <c r="E98" s="74"/>
      <c r="F98" s="75"/>
      <c r="G98" s="91"/>
      <c r="H98" s="76"/>
      <c r="I98" s="101"/>
    </row>
    <row r="99" spans="1:9" x14ac:dyDescent="0.35">
      <c r="A99" s="103" t="s">
        <v>204</v>
      </c>
      <c r="B99" s="89" t="s">
        <v>27</v>
      </c>
      <c r="C99" s="90" t="s">
        <v>23</v>
      </c>
      <c r="D99" s="70">
        <f>COUNTIF([1]Schedule!D99:F99, "")</f>
        <v>0</v>
      </c>
      <c r="E99" s="74"/>
      <c r="F99" s="91"/>
      <c r="G99" s="91"/>
      <c r="H99" s="76"/>
      <c r="I99" s="101"/>
    </row>
    <row r="100" spans="1:9" x14ac:dyDescent="0.35">
      <c r="A100" s="102" t="s">
        <v>205</v>
      </c>
      <c r="B100" s="86" t="s">
        <v>28</v>
      </c>
      <c r="C100" s="87" t="s">
        <v>23</v>
      </c>
      <c r="D100" s="70">
        <f>COUNTIF([1]Schedule!D100:F100, "")</f>
        <v>0</v>
      </c>
      <c r="E100" s="74"/>
      <c r="F100" s="75"/>
      <c r="G100" s="75"/>
      <c r="H100" s="76"/>
      <c r="I100" s="101"/>
    </row>
    <row r="101" spans="1:9" x14ac:dyDescent="0.35">
      <c r="A101" s="102" t="s">
        <v>206</v>
      </c>
      <c r="B101" s="86" t="s">
        <v>29</v>
      </c>
      <c r="C101" s="87" t="s">
        <v>23</v>
      </c>
      <c r="D101" s="70">
        <f>COUNTIF([1]Schedule!D101:F101, "")</f>
        <v>0</v>
      </c>
      <c r="E101" s="74"/>
      <c r="F101" s="75"/>
      <c r="G101" s="91"/>
      <c r="H101" s="76"/>
      <c r="I101" s="101"/>
    </row>
    <row r="102" spans="1:9" x14ac:dyDescent="0.35">
      <c r="A102" s="102" t="s">
        <v>207</v>
      </c>
      <c r="B102" s="86" t="s">
        <v>30</v>
      </c>
      <c r="C102" s="87" t="s">
        <v>23</v>
      </c>
      <c r="D102" s="70">
        <f>COUNTIF([1]Schedule!D102:F102, "")</f>
        <v>0</v>
      </c>
      <c r="E102" s="74"/>
      <c r="F102" s="75"/>
      <c r="G102" s="75"/>
      <c r="H102" s="76"/>
      <c r="I102" s="101"/>
    </row>
    <row r="103" spans="1:9" x14ac:dyDescent="0.35">
      <c r="A103" s="102" t="s">
        <v>208</v>
      </c>
      <c r="B103" s="86" t="s">
        <v>31</v>
      </c>
      <c r="C103" s="87" t="s">
        <v>23</v>
      </c>
      <c r="D103" s="70">
        <f>COUNTIF([1]Schedule!D103:F103, "")</f>
        <v>0</v>
      </c>
      <c r="E103" s="74"/>
      <c r="F103" s="75"/>
      <c r="G103" s="91"/>
      <c r="H103" s="76"/>
      <c r="I103" s="101"/>
    </row>
    <row r="104" spans="1:9" x14ac:dyDescent="0.35">
      <c r="A104" s="102" t="s">
        <v>209</v>
      </c>
      <c r="B104" s="86" t="s">
        <v>32</v>
      </c>
      <c r="C104" s="87" t="s">
        <v>23</v>
      </c>
      <c r="D104" s="70">
        <f>COUNTIF([1]Schedule!D104:F104, "")</f>
        <v>0</v>
      </c>
      <c r="E104" s="74"/>
      <c r="F104" s="75"/>
      <c r="G104" s="91"/>
      <c r="H104" s="76"/>
      <c r="I104" s="101"/>
    </row>
    <row r="105" spans="1:9" x14ac:dyDescent="0.35">
      <c r="A105" s="103" t="s">
        <v>210</v>
      </c>
      <c r="B105" s="89" t="s">
        <v>33</v>
      </c>
      <c r="C105" s="90" t="s">
        <v>23</v>
      </c>
      <c r="D105" s="70">
        <f>COUNTIF([1]Schedule!D105:F105, "")</f>
        <v>0</v>
      </c>
      <c r="E105" s="74"/>
      <c r="F105" s="75"/>
      <c r="G105" s="91"/>
      <c r="H105" s="76"/>
      <c r="I105" s="101"/>
    </row>
    <row r="106" spans="1:9" ht="15" thickBot="1" x14ac:dyDescent="0.4">
      <c r="A106" s="105" t="s">
        <v>211</v>
      </c>
      <c r="B106" s="106" t="s">
        <v>27</v>
      </c>
      <c r="C106" s="107" t="s">
        <v>23</v>
      </c>
      <c r="D106" s="108">
        <f>COUNTIF([1]Schedule!D106:F106, "")</f>
        <v>0</v>
      </c>
      <c r="E106" s="109"/>
      <c r="F106" s="110"/>
      <c r="G106" s="111"/>
      <c r="H106" s="112"/>
      <c r="I106" s="113"/>
    </row>
  </sheetData>
  <mergeCells count="7">
    <mergeCell ref="A92:C92"/>
    <mergeCell ref="A2:C2"/>
    <mergeCell ref="A17:C17"/>
    <mergeCell ref="A32:C32"/>
    <mergeCell ref="A47:C47"/>
    <mergeCell ref="A62:C62"/>
    <mergeCell ref="A77:C77"/>
  </mergeCells>
  <conditionalFormatting sqref="D3:D16 D18:D31 D33:D46 D48:D61 D63:D76 D78:D91 D93:D106">
    <cfRule type="cellIs" dxfId="7" priority="1" operator="greaterThan">
      <formula>0</formula>
    </cfRule>
    <cfRule type="cellIs" dxfId="6" priority="2" operator="equal">
      <formula>0</formula>
    </cfRule>
  </conditionalFormatting>
  <dataValidations count="1">
    <dataValidation type="list" allowBlank="1" showErrorMessage="1" sqref="H2:I2 E3:H16 E18:H31 E33:H46 E48:H61 E63:H76 E78:H91 E93:H106 I17 I32 I47 I62 I77 I92" xr:uid="{7CBEBEA7-F878-41C3-A9BE-F039185DB125}">
      <formula1>"Katie,Hayden,John,Maureen,Mandie,Caroline,Kristin,Radha,Jamie,Todd"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Summary</vt:lpstr>
      <vt:lpstr>Schedule</vt:lpstr>
      <vt:lpstr>Requested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</dc:creator>
  <cp:lastModifiedBy>spencer Weisberg</cp:lastModifiedBy>
  <dcterms:created xsi:type="dcterms:W3CDTF">2026-09-27T04:40:03Z</dcterms:created>
  <dcterms:modified xsi:type="dcterms:W3CDTF">2026-09-27T04:59:28Z</dcterms:modified>
</cp:coreProperties>
</file>